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✅ TO DO" sheetId="1" r:id="rId5"/>
    <sheet state="visible" name="🚧 User_Guide" sheetId="2" r:id="rId6"/>
    <sheet state="visible" name="1_company" sheetId="3" r:id="rId7"/>
    <sheet state="visible" name="2_mission" sheetId="4" r:id="rId8"/>
    <sheet state="visible" name="2_mission_function" sheetId="5" r:id="rId9"/>
    <sheet state="visible" name="3_diag_strategy" sheetId="6" r:id="rId10"/>
    <sheet state="visible" name="3_diag_process" sheetId="7" r:id="rId11"/>
    <sheet state="visible" name="4_mission_report" sheetId="8" r:id="rId12"/>
    <sheet state="visible" name="_lib_mission_type" sheetId="9" r:id="rId13"/>
    <sheet state="visible" name="_lib_cat_L1" sheetId="10" r:id="rId14"/>
    <sheet state="visible" name="_lib_cat_L2" sheetId="11" r:id="rId15"/>
    <sheet state="visible" name="_lib_questions" sheetId="12" r:id="rId16"/>
    <sheet state="visible" name="_scoring_criteria" sheetId="13" r:id="rId17"/>
    <sheet state="visible" name="_scoring_reco" sheetId="14" r:id="rId18"/>
    <sheet state="visible" name="_settings_api" sheetId="15" r:id="rId19"/>
    <sheet state="visible" name="_settings_outputs" sheetId="16" r:id="rId20"/>
    <sheet state="visible" name="_options_list" sheetId="17" r:id="rId21"/>
    <sheet state="visible" name="(🚧 WIP) reco_tool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📚 May be populated after running the "3_diag_strategy" diagnosis</t>
      </text>
    </comment>
    <comment authorId="0" ref="H2">
      <text>
        <t xml:space="preserve">📚 May be populated after running the "3_diag_strategy" diagnosis</t>
      </text>
    </comment>
    <comment authorId="0" ref="I2">
      <text>
        <t xml:space="preserve">📚 May be populated after running the "3_diag_strategy" diagnosis</t>
      </text>
    </comment>
    <comment authorId="0" ref="J2">
      <text>
        <t xml:space="preserve">📚 May be populated after running the "3_diag_strategy" diagnosis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Copied line by line to enable the user to modify the question</t>
      </text>
    </comment>
    <comment authorId="0" ref="E2">
      <text>
        <t xml:space="preserve">Copied line by line to enable the user to modify the question</t>
      </text>
    </comment>
    <comment authorId="0" ref="H2">
      <text>
        <t xml:space="preserve">Copied line by line to enable the user to modify the question</t>
      </text>
    </comment>
    <comment authorId="0" ref="I2">
      <text>
        <t xml:space="preserve">v2: pre answer by AI from provided documents</t>
      </text>
    </comment>
    <comment authorId="0" ref="J1">
      <text>
        <t xml:space="preserve">New column NOT DETAILED IN THE SPECIFICATION</t>
      </text>
    </comment>
    <comment authorId="0" ref="K2">
      <text>
        <t xml:space="preserve">Clear Reliable proof of the assertion (e.g. report source...)</t>
      </text>
    </comment>
    <comment authorId="0" ref="K1">
      <text>
        <t xml:space="preserve">New column NOT DETAILED IN THE SPECIFICATION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Copied line by line to enable the user to modify the question</t>
      </text>
    </comment>
    <comment authorId="0" ref="G2">
      <text>
        <t xml:space="preserve">Copied line by line to enable the user to modify the question</t>
      </text>
    </comment>
    <comment authorId="0" ref="J2">
      <text>
        <t xml:space="preserve">Data (structured/unstructured),
</t>
      </text>
    </comment>
    <comment authorId="0" ref="L2">
      <text>
        <t xml:space="preserve">e.g. Deliverable</t>
      </text>
    </comment>
    <comment authorId="0" ref="M2">
      <text>
        <t xml:space="preserve">🚧 Options
- Either a deterministic calculation (requires unit of volume + ...
- Or a simple manual input the prompt for AI analysis</t>
      </text>
    </comment>
    <comment authorId="0" ref="N2">
      <text>
        <t xml:space="preserve">🚧 Not yet integrated into formula -&gt; will reduce result of ???</t>
      </text>
    </comment>
    <comment authorId="0" ref="P2">
      <text>
        <t xml:space="preserve">How is this Step concerned by... ?</t>
      </text>
    </comment>
    <comment authorId="0" ref="Q2">
      <text>
        <t xml:space="preserve">How is this Step concerned by... ?</t>
      </text>
    </comment>
    <comment authorId="0" ref="R2">
      <text>
        <t xml:space="preserve">How is this Step concerned by... ?</t>
      </text>
    </comment>
    <comment authorId="0" ref="S2">
      <text>
        <t xml:space="preserve">How is this Step concerned by... ?</t>
      </text>
    </comment>
    <comment authorId="0" ref="T2">
      <text>
        <t xml:space="preserve">How is this Step concerned by... ?</t>
      </text>
    </comment>
    <comment authorId="0" ref="U2">
      <text>
        <t xml:space="preserve">How is this Step concerned by... ?</t>
      </text>
    </comment>
    <comment authorId="0" ref="V2">
      <text>
        <t xml:space="preserve">How is this Step concerned by... ?</t>
      </text>
    </comment>
    <comment authorId="0" ref="W2">
      <text>
        <t xml:space="preserve">1 = neutral
How is this Step concerned by... ?</t>
      </text>
    </comment>
    <comment authorId="0" ref="X2">
      <text>
        <t xml:space="preserve">How is this Step concerned by... ?</t>
      </text>
    </comment>
    <comment authorId="0" ref="Y2">
      <text>
        <t xml:space="preserve">How is this Step concerned by... ?</t>
      </text>
    </comment>
    <comment authorId="0" ref="Z2">
      <text>
        <t xml:space="preserve">How is this Step concerned by... ?</t>
      </text>
    </comment>
    <comment authorId="0" ref="AA2">
      <text>
        <t xml:space="preserve">How is this Step concerned by... ?</t>
      </text>
    </comment>
    <comment authorId="0" ref="AB2">
      <text>
        <t xml:space="preserve">How is this Step concerned by... ?</t>
      </text>
    </comment>
    <comment authorId="0" ref="AD2">
      <text>
        <t xml:space="preserve">={"score_VALUE";
ARRAYFORMULA(
IF(F2:F="";
"";
IFERROR(
BYROW(F2:I;
LAMBDA(r;
SUMPRODUCT(
IF(ISNUMBER(r);r;0);
XLOOKUP(F$1:I$1;'_scoring_matrix'!B$3:P$3;'_scoring_matrix'!B$4:P$4);
XLOOKUP(F$1:I$1;'_scoring_matrix'!B$3:P$3;'_scoring_matrix'!B$5:P$5)
)
/
SUMPRODUCT(
--ISNUMBER(r);
ABS(
XLOOKUP(F$1:I$1;'_scoring_matrix'!B$3:P$3;'_scoring_matrix'!B$4:P$4)*
XLOOKUP(F$1:I$1;'_scoring_matrix'!B$3:P$3;'_scoring_matrix'!B$5:P$5)
)
)
));
""
)
)
)}</t>
      </text>
    </comment>
    <comment authorId="0" ref="AE2">
      <text>
        <t xml:space="preserve">={"score_FEASIBILITY";
ARRAYFORMULA(
IF(J2:J="";
"";
IFERROR(
BYROW(J2:S;
LAMBDA(r;
SUMPRODUCT(
IF(ISNUMBER(r);r;0);
XLOOKUP(J$1:S$1;'_scoring_matrix'!B$3:P$3;'_scoring_matrix'!B$4:P$4);
XLOOKUP(J$1:S$1;'_scoring_matrix'!B$3:P$3;'_scoring_matrix'!B$5:P$5)
)
/
SUMPRODUCT(
--ISNUMBER(r);
ABS(
XLOOKUP(J$1:S$1;'_scoring_matrix'!B$3:P$3;'_scoring_matrix'!B$4:P$4)*
XLOOKUP(J$1:S$1;'_scoring_matrix'!B$3:P$3;'_scoring_matrix'!B$5:P$5)
)
)
));
""
)
)
)}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={"id_cat_L1_lib";ARRAYFORMULA(IF(B3:B="";;B3:B&amp;"_"&amp;TEXT(COUNTIFS(B$3:B;B3:B;ROW(B$3:B);"&lt;="&amp;ROW(B3:B));"00")))}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={'_lib_cat_L1'!C$2; ARRAYFORMULA(IF(C3:C=""; ; XLOOKUP(C3:C; '_lib_cat_L1'!D3:D; '_lib_cat_L1'!C3:C; "")))}</t>
      </text>
    </comment>
    <comment authorId="0" ref="E2">
      <text>
        <t xml:space="preserve">Dependant dropdown via AppScript</t>
      </text>
    </comment>
    <comment authorId="0" ref="F2">
      <text>
        <t xml:space="preserve">={"id_cat_L2_lib"; ARRAYFORMULA(IF(B3:B="";; B3:B&amp;"_"&amp;TEXT(COUNTIFS(B$3:B;B3:B;ROW(B$3:B);"&lt;="&amp;ROW(B3:B));"00")))}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{"lib_id_category_L1";ARRAYFORMULA(IF(G3:INDEX(E:E;MATCH(2;1/(E:E&lt;&gt;"")))="";"";"lib_"&amp;lower(left(C3:C;3))&amp;"_"&amp;TEXT(MATCH(G3:INDEX(E:E;MATCH(2;1/(E:E&lt;&gt;"")));UNIQUE(FILTER(G3:INDEX(E:E;MATCH(2;1/(E:E&lt;&gt;"")));G3:INDEX(E:E;MATCH(2;1/(E:E&lt;&gt;"")))&lt;&gt;""));0);"00")))}</t>
      </text>
    </comment>
    <comment authorId="0" ref="L2">
      <text>
        <t xml:space="preserve">Used to make a global rating of the category -&gt; avoid to have an intermediate table just for aggregation of the category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- Axis: VALUE POTENTIAL
- Desc: business interest if improved</t>
      </text>
    </comment>
    <comment authorId="0" ref="C15">
      <text>
        <t xml:space="preserve">- Axis: FEASIBILITY
- Desc: whether inputs are available and usable</t>
      </text>
    </comment>
    <comment authorId="0" ref="C12">
      <text>
        <t xml:space="preserve">- Axis: FEASIBILITY
- Desc: how repeatable / rule-based / standardizable the task is</t>
      </text>
    </comment>
    <comment authorId="0" ref="C10">
      <text>
        <t xml:space="preserve">- Axis: FEASIBILITY
- Desc: how much tacit judgment / expertise is needed</t>
      </text>
    </comment>
    <comment authorId="0" ref="C6">
      <text>
        <t xml:space="preserve">- Axis: FEASIBILITY
- Desc: 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1 = neutral</t>
      </text>
    </comment>
    <comment authorId="0" ref="F5">
      <text>
        <t xml:space="preserve">1 = neutral</t>
      </text>
    </comment>
    <comment authorId="0" ref="G5">
      <text>
        <t xml:space="preserve">1 = neutral</t>
      </text>
    </comment>
    <comment authorId="0" ref="H5">
      <text>
        <t xml:space="preserve">1 = neutral</t>
      </text>
    </comment>
    <comment authorId="0" ref="J5">
      <text>
        <t xml:space="preserve">1 = Neutral</t>
      </text>
    </comment>
    <comment authorId="0" ref="L5">
      <text>
        <t xml:space="preserve">1 = Neutral</t>
      </text>
    </comment>
    <comment authorId="0" ref="M5">
      <text>
        <t xml:space="preserve">1 = neutral</t>
      </text>
    </comment>
    <comment authorId="0" ref="N5">
      <text>
        <t xml:space="preserve">1 = neutral</t>
      </text>
    </comment>
    <comment authorId="0" ref="O5">
      <text>
        <t xml:space="preserve">1 = Neutral</t>
      </text>
    </comment>
    <comment authorId="0" ref="P5">
      <text>
        <t xml:space="preserve">1 = neutral</t>
      </text>
    </comment>
    <comment authorId="0" ref="A6">
      <text>
        <t xml:space="preserve">- AI specific or Existing AI-empowered SaaS
- 1 = Neutral</t>
      </text>
    </comment>
    <comment authorId="0" ref="B6">
      <text>
        <t xml:space="preserve">1 = neutral</t>
      </text>
    </comment>
    <comment authorId="0" ref="C6">
      <text>
        <t xml:space="preserve">1 = neutral</t>
      </text>
    </comment>
    <comment authorId="0" ref="D6">
      <text>
        <t xml:space="preserve">1 = neutral</t>
      </text>
    </comment>
    <comment authorId="0" ref="E6">
      <text>
        <t xml:space="preserve">1 = neutral</t>
      </text>
    </comment>
    <comment authorId="0" ref="B2">
      <text>
        <t xml:space="preserve">- Axis: VALUE POTENTIAL
- Desc: business interest if improved</t>
      </text>
    </comment>
    <comment authorId="0" ref="F6">
      <text>
        <t xml:space="preserve">1 = neutral</t>
      </text>
    </comment>
    <comment authorId="0" ref="G6">
      <text>
        <t xml:space="preserve">criteria_type</t>
      </text>
    </comment>
    <comment authorId="0" ref="H6">
      <text>
        <t xml:space="preserve">1 = neutral</t>
      </text>
    </comment>
    <comment authorId="0" ref="F2">
      <text>
        <t xml:space="preserve">- Axis: FEASIBILITY
- Desc: </t>
      </text>
    </comment>
    <comment authorId="0" ref="J6">
      <text>
        <t xml:space="preserve">1 = neutral</t>
      </text>
    </comment>
    <comment authorId="0" ref="K6">
      <text>
        <t xml:space="preserve">1 = neutral</t>
      </text>
    </comment>
    <comment authorId="0" ref="L6">
      <text>
        <t xml:space="preserve">1 = neutral</t>
      </text>
    </comment>
    <comment authorId="0" ref="M6">
      <text>
        <t xml:space="preserve">1 = neutral</t>
      </text>
    </comment>
    <comment authorId="0" ref="J2">
      <text>
        <t xml:space="preserve">- Axis: FEASIBILITY
- Desc: how much tacit judgment / expertise is needed</t>
      </text>
    </comment>
    <comment authorId="0" ref="N6">
      <text>
        <t xml:space="preserve">1 = neutral</t>
      </text>
    </comment>
    <comment authorId="0" ref="O6">
      <text>
        <t xml:space="preserve">1 = neutral</t>
      </text>
    </comment>
    <comment authorId="0" ref="L2">
      <text>
        <t xml:space="preserve">- Axis: FEASIBILITY
- Desc: how repeatable / rule-based / standardizable the task is</t>
      </text>
    </comment>
    <comment authorId="0" ref="P6">
      <text>
        <t xml:space="preserve">1 = neutral</t>
      </text>
    </comment>
    <comment authorId="0" ref="O2">
      <text>
        <t xml:space="preserve">- Axis: FEASIBILITY
- Desc: whether inputs are available and usable</t>
      </text>
    </comment>
    <comment authorId="0" ref="A7">
      <text>
        <t xml:space="preserve">- Automation pipeline, ex. N8N
- 1 = Neutral</t>
      </text>
    </comment>
    <comment authorId="0" ref="B7">
      <text>
        <t xml:space="preserve">1 = neutral</t>
      </text>
    </comment>
    <comment authorId="0" ref="C7">
      <text>
        <t xml:space="preserve">1 = neutral</t>
      </text>
    </comment>
    <comment authorId="0" ref="D7">
      <text>
        <t xml:space="preserve">1 = neutral</t>
      </text>
    </comment>
    <comment authorId="0" ref="E7">
      <text>
        <t xml:space="preserve">1 = neutral</t>
      </text>
    </comment>
    <comment authorId="0" ref="F7">
      <text>
        <t xml:space="preserve">1 = neutral</t>
      </text>
    </comment>
    <comment authorId="0" ref="G7">
      <text>
        <t xml:space="preserve">1 = neutral</t>
      </text>
    </comment>
    <comment authorId="0" ref="H7">
      <text>
        <t xml:space="preserve">1 = neutral</t>
      </text>
    </comment>
    <comment authorId="0" ref="I7">
      <text>
        <t xml:space="preserve">1 = neutral</t>
      </text>
    </comment>
    <comment authorId="0" ref="J7">
      <text>
        <t xml:space="preserve">1 = neutral</t>
      </text>
    </comment>
    <comment authorId="0" ref="K7">
      <text>
        <t xml:space="preserve">1 = neutral</t>
      </text>
    </comment>
    <comment authorId="0" ref="L7">
      <text>
        <t xml:space="preserve">1 = neutral</t>
      </text>
    </comment>
    <comment authorId="0" ref="M7">
      <text>
        <t xml:space="preserve">1 = neutral</t>
      </text>
    </comment>
    <comment authorId="0" ref="N7">
      <text>
        <t xml:space="preserve">1 = neutral</t>
      </text>
    </comment>
    <comment authorId="0" ref="O7">
      <text>
        <t xml:space="preserve">1 = neutral</t>
      </text>
    </comment>
    <comment authorId="0" ref="P7">
      <text>
        <t xml:space="preserve">1 = neutral</t>
      </text>
    </comment>
    <comment authorId="0" ref="A8">
      <text>
        <t xml:space="preserve">- Autonomous multi-step system
- 1 = Neutral</t>
      </text>
    </comment>
    <comment authorId="0" ref="B8">
      <text>
        <t xml:space="preserve">1 = neutral</t>
      </text>
    </comment>
    <comment authorId="0" ref="C8">
      <text>
        <t xml:space="preserve">1 = neutral</t>
      </text>
    </comment>
    <comment authorId="0" ref="D8">
      <text>
        <t xml:space="preserve">1 = neutral</t>
      </text>
    </comment>
    <comment authorId="0" ref="E8">
      <text>
        <t xml:space="preserve">1 = neutral</t>
      </text>
    </comment>
    <comment authorId="0" ref="F8">
      <text>
        <t xml:space="preserve">1 = neutral</t>
      </text>
    </comment>
    <comment authorId="0" ref="G8">
      <text>
        <t xml:space="preserve">1 = neutral</t>
      </text>
    </comment>
    <comment authorId="0" ref="H8">
      <text>
        <t xml:space="preserve">1 = neutral</t>
      </text>
    </comment>
    <comment authorId="0" ref="I8">
      <text>
        <t xml:space="preserve">1 = neutral</t>
      </text>
    </comment>
    <comment authorId="0" ref="J8">
      <text>
        <t xml:space="preserve">1 = neutral</t>
      </text>
    </comment>
    <comment authorId="0" ref="K8">
      <text>
        <t xml:space="preserve">1 = neutral</t>
      </text>
    </comment>
    <comment authorId="0" ref="L8">
      <text>
        <t xml:space="preserve">1 = neutral</t>
      </text>
    </comment>
    <comment authorId="0" ref="M8">
      <text>
        <t xml:space="preserve">1 = neutral</t>
      </text>
    </comment>
    <comment authorId="0" ref="N8">
      <text>
        <t xml:space="preserve">1 = neutral</t>
      </text>
    </comment>
    <comment authorId="0" ref="O8">
      <text>
        <t xml:space="preserve">1 = Neutral</t>
      </text>
    </comment>
    <comment authorId="0" ref="P8">
      <text>
        <t xml:space="preserve">1 = neutral</t>
      </text>
    </comment>
    <comment authorId="0" ref="A5">
      <text>
        <t xml:space="preserve">- Knowledge assistance
- 1 = Neutral</t>
      </text>
    </comment>
    <comment authorId="0" ref="B5">
      <text>
        <t xml:space="preserve">1 = neutral</t>
      </text>
    </comment>
    <comment authorId="0" ref="C5">
      <text>
        <t xml:space="preserve">1 = neutral</t>
      </text>
    </comment>
    <comment authorId="0" ref="D5">
      <text>
        <t xml:space="preserve">1 = neutral</t>
      </text>
    </comment>
  </commentList>
</comments>
</file>

<file path=xl/sharedStrings.xml><?xml version="1.0" encoding="utf-8"?>
<sst xmlns="http://schemas.openxmlformats.org/spreadsheetml/2006/main" count="3314" uniqueCount="1057">
  <si>
    <t>STATUS</t>
  </si>
  <si>
    <t>TYPE</t>
  </si>
  <si>
    <t>TASK</t>
  </si>
  <si>
    <t>NOTES</t>
  </si>
  <si>
    <t>Structure</t>
  </si>
  <si>
    <t>Structure as a database</t>
  </si>
  <si>
    <t>Identify user entries vs automatic (fetch standard list, formula, call api)</t>
  </si>
  <si>
    <t>Merge two tables diag_dpt et diag_process</t>
  </si>
  <si>
    <t>For each process, 1st step is "Global Assessment" &gt; analyzed if details not filled</t>
  </si>
  <si>
    <t>Merge two table lib_*</t>
  </si>
  <si>
    <t>Specification</t>
  </si>
  <si>
    <t>Workflow</t>
  </si>
  <si>
    <t>nb: "diag process" in several screens</t>
  </si>
  <si>
    <t>UI</t>
  </si>
  <si>
    <t>None in v1 except "create mission" (copy lib_* data) and ai generated report</t>
  </si>
  <si>
    <t xml:space="preserve">Review synergies "C@P" </t>
  </si>
  <si>
    <t>Former project (automatic consulting)</t>
  </si>
  <si>
    <t>Audit Specif vs gSheet structure following tabs merger (_lib* and some 3_diag_*). Specs are: aiStrategy- specification</t>
  </si>
  <si>
    <t xml:space="preserve">CONTEXT: merger of some tabs in the Google Sheets (_lib_*, 3_diag_department into 3_diag_process). 
--- TASK: Audit carefully the discrepancies between the specificationi and the Google Sheet (SSOT). 
Note that this implies also some columns per sheet. 
--- OUTPUT: 
 **Reference:** section/sub-section/header
   - Discrepancy: 
   - Copy-paste ready Fix: 
</t>
  </si>
  <si>
    <t>Add "AI analysis" columns per entry</t>
  </si>
  <si>
    <t>AI#1: enhance each entry in sheet; AI#2: generate global report /mission</t>
  </si>
  <si>
    <t>Review all formulas</t>
  </si>
  <si>
    <t>nb: not too much since will be removed in v2 with a real database</t>
  </si>
  <si>
    <t>Content</t>
  </si>
  <si>
    <t>Finalize "library" sheets</t>
  </si>
  <si>
    <t>'- Merge "strat" questions with strateg- Change impact analytic framework
- "_lib_strategy", "_lib_process" used as reference &gt; loaded per user selection</t>
  </si>
  <si>
    <t># PROJECT PRESENTATION</t>
  </si>
  <si>
    <t>https://docs.google.com/document/d/1U84ahHScW5QYnLXIggvfyfQVDUaEbbAiGZNCTcqcuQs/edit?usp=sharing</t>
  </si>
  <si>
    <t>## EXEC. SUMMARY</t>
  </si>
  <si>
    <r>
      <rPr>
        <rFont val="Arial"/>
        <b/>
        <color theme="1"/>
      </rPr>
      <t xml:space="preserve">**Self-assessment tool** </t>
    </r>
    <r>
      <rPr>
        <rFont val="Arial"/>
        <color theme="1"/>
      </rPr>
      <t>for SMBs to evaluate:
  - Strategic risk — Is AI an existential threat to the business model?
  - Process AI-eligibility — Which processes can realistically benefit from AI (value vs. feasibility)?</t>
    </r>
  </si>
  <si>
    <r>
      <rPr>
        <rFont val="Arial"/>
        <b/>
        <color theme="1"/>
      </rPr>
      <t xml:space="preserve">**Output:** 
</t>
    </r>
    <r>
      <rPr>
        <rFont val="Arial"/>
        <color theme="1"/>
      </rPr>
      <t>- A scored diagnosis
- + AI-generated strategic report (Google Doc).</t>
    </r>
  </si>
  <si>
    <r>
      <rPr>
        <rFont val="Arial"/>
        <b/>
        <color theme="1"/>
      </rPr>
      <t xml:space="preserve">**Core logic:** </t>
    </r>
    <r>
      <rPr>
        <rFont val="Arial"/>
        <color theme="1"/>
      </rPr>
      <t xml:space="preserve">
1_company → 2_mission → 2_mission_function → optional instance creation in 3_diag_strategy and/or 3_diag_department + 3_diag_process → detailed scoring is entered at process level in 3_diag_process and/or manually at department level in 3_diag_department → formulas synthesize department-level outputs in 3_diag_department → final report generation tracked in 4_mission_report.</t>
    </r>
  </si>
  <si>
    <r>
      <rPr>
        <rFont val="Arial"/>
        <b/>
        <color theme="1"/>
      </rPr>
      <t>**Structural principle:**</t>
    </r>
    <r>
      <rPr>
        <rFont val="Arial"/>
        <color theme="1"/>
      </rPr>
      <t xml:space="preserve">
- 2_mission = mission header only
- 2_mission_function = authoritative function scope per mission
- 3_diag_strategy = macro strategic diagnosis
- 3_diag_department = function-scoped diagnosis + synthesis hub
- 3_diag_process = function-scoped detailed scoring engine</t>
    </r>
  </si>
  <si>
    <r>
      <rPr>
        <rFont val="Arial"/>
        <b/>
        <color theme="1"/>
      </rPr>
      <t xml:space="preserve">**Key implementation constraints:** </t>
    </r>
    <r>
      <rPr>
        <rFont val="Arial"/>
        <color theme="1"/>
      </rPr>
      <t xml:space="preserve">
- **Diagnosis instance creation must iterate from 2_mission_function:** Function scope is part of the primary grain and must never be inferred from labels, merged text, or department/process names.
- **The scoring structure is a hard dependency:** crit_01…crit_14 in diagnosis tables must stay perfectly aligned with _scoring_criteria logical order, otherwise formulas and recommendation logic will silently break.</t>
    </r>
  </si>
  <si>
    <t>## FUNCTIONAL USER FLOW</t>
  </si>
  <si>
    <t>Workflow title</t>
  </si>
  <si>
    <t>User goal</t>
  </si>
  <si>
    <t>User action</t>
  </si>
  <si>
    <t>User-visible result</t>
  </si>
  <si>
    <t>What the script does</t>
  </si>
  <si>
    <t>mission_initialization</t>
  </si>
  <si>
    <t>Prepare the diagnosis workspace for one mission</t>
  </si>
  <si>
    <t>In `2_mission`, user selects a mission and clicks the initialization button</t>
  </si>
  <si>
    <t>Ready-to-fill diagnosis structure for the selected mission</t>
  </si>
  <si>
    <r>
      <rPr>
        <rFont val="Arial"/>
        <color theme="1"/>
      </rPr>
      <t xml:space="preserve">Checks: mission is valid + required diagnosis types are activated; 
If </t>
    </r>
    <r>
      <rPr>
        <rFont val="Arial"/>
        <b/>
        <color theme="1"/>
      </rPr>
      <t>Process diagnosis</t>
    </r>
    <r>
      <rPr>
        <rFont val="Arial"/>
        <color theme="1"/>
      </rPr>
      <t xml:space="preserve"> is activated: 
  - Checks that at least one mission </t>
    </r>
    <r>
      <rPr>
        <rFont val="Arial"/>
        <i/>
        <color theme="1"/>
      </rPr>
      <t>Function</t>
    </r>
    <r>
      <rPr>
        <rFont val="Arial"/>
        <color theme="1"/>
      </rPr>
      <t xml:space="preserve"> is in scope; 
  - Creates all missing diagnosis rows for this mission</t>
    </r>
  </si>
  <si>
    <t>Load strategy diagnosis</t>
  </si>
  <si>
    <t>No action</t>
  </si>
  <si>
    <t>Strategy diagnosis rows ready to complete</t>
  </si>
  <si>
    <r>
      <rPr>
        <rFont val="Arial"/>
        <color theme="1"/>
      </rPr>
      <t xml:space="preserve">If </t>
    </r>
    <r>
      <rPr>
        <rFont val="Arial"/>
        <b/>
        <color theme="1"/>
      </rPr>
      <t xml:space="preserve">Strategy diagnosis </t>
    </r>
    <r>
      <rPr>
        <rFont val="Arial"/>
        <color theme="1"/>
      </rPr>
      <t>is activated: imports the relevant strategy questions for the mission</t>
    </r>
  </si>
  <si>
    <t>Load process diagnosis</t>
  </si>
  <si>
    <t>Department and Process diagnosis rows ready to complete</t>
  </si>
  <si>
    <r>
      <rPr>
        <rFont val="Arial"/>
        <color theme="1"/>
      </rPr>
      <t xml:space="preserve">If </t>
    </r>
    <r>
      <rPr>
        <rFont val="Arial"/>
        <b/>
        <color theme="1"/>
      </rPr>
      <t>Process diagnosis</t>
    </r>
    <r>
      <rPr>
        <rFont val="Arial"/>
        <color theme="1"/>
      </rPr>
      <t xml:space="preserve"> is activated: 
- Reads the mission functions in scope
- Creates the related department rows and process rows</t>
    </r>
  </si>
  <si>
    <t>diagnosis_completion</t>
  </si>
  <si>
    <t>Complete the assessment</t>
  </si>
  <si>
    <t>User fills in diagnosis sheets</t>
  </si>
  <si>
    <t>Mission diagnosis is progressively completed</t>
  </si>
  <si>
    <t>Nothing -&gt; user inputs</t>
  </si>
  <si>
    <t>mission_report</t>
  </si>
  <si>
    <t>Start report generation</t>
  </si>
  <si>
    <t>User clicks the report button</t>
  </si>
  <si>
    <t>Mission to report on chosen</t>
  </si>
  <si>
    <t>Opens a dialog and loads selectable companies, missions, and AI options</t>
  </si>
  <si>
    <t>Select the target mission</t>
  </si>
  <si>
    <t>In the dialog, user selects company, then mission, then AI option</t>
  </si>
  <si>
    <t>Report generation launched on the correct mission</t>
  </si>
  <si>
    <t>Filters available missions for the selected company and validates the final selection</t>
  </si>
  <si>
    <t>Validate the request</t>
  </si>
  <si>
    <t>User clicks `Produce Report`</t>
  </si>
  <si>
    <t>Report generation starts only if inputs are valid</t>
  </si>
  <si>
    <t>Checks that company, mission, AI settings, and output location are valid and consistent</t>
  </si>
  <si>
    <t>Gather mission data</t>
  </si>
  <si>
    <t>All relevant mission data prepared for reporting</t>
  </si>
  <si>
    <t>Collects the company context, mission data, strategy diagnosis, and process diagnosis linked to the selected mission</t>
  </si>
  <si>
    <t>Generate the report</t>
  </si>
  <si>
    <t>Report text produced automatically</t>
  </si>
  <si>
    <t>Sends the structured mission data to the selected AI configuration and receives the written report</t>
  </si>
  <si>
    <t>Deliver the final output</t>
  </si>
  <si>
    <t>Ready-to-open report document</t>
  </si>
  <si>
    <t>Creates a Google Doc, stores the report in the target folder, and returns the document link</t>
  </si>
  <si>
    <t>error_handling</t>
  </si>
  <si>
    <t>Stop cleanly if blocked</t>
  </si>
  <si>
    <t>User sees message only if an issue occurs</t>
  </si>
  <si>
    <t>Understanding of failures</t>
  </si>
  <si>
    <t>Stops the workflow on blocking issues, logs the technical error, and returns a short readable message</t>
  </si>
  <si>
    <t>[UUID- PK]</t>
  </si>
  <si>
    <t>[text]</t>
  </si>
  <si>
    <t>[datalist]</t>
  </si>
  <si>
    <t>[AI call]</t>
  </si>
  <si>
    <t>[date]</t>
  </si>
  <si>
    <t>id_company</t>
  </si>
  <si>
    <t>company_name</t>
  </si>
  <si>
    <t>contact_email</t>
  </si>
  <si>
    <t>sub_sector</t>
  </si>
  <si>
    <t>company_description</t>
  </si>
  <si>
    <t>v2_web_search</t>
  </si>
  <si>
    <t>comments</t>
  </si>
  <si>
    <t>created_at</t>
  </si>
  <si>
    <t>modified_at</t>
  </si>
  <si>
    <t>comp_001</t>
  </si>
  <si>
    <t>Michelin Experiences</t>
  </si>
  <si>
    <t>a@michelin.com</t>
  </si>
  <si>
    <t>France</t>
  </si>
  <si>
    <t>"Hospitality, Tourism &amp; Leisure"</t>
  </si>
  <si>
    <t>Publishing</t>
  </si>
  <si>
    <t>Make product, Move / Sell product</t>
  </si>
  <si>
    <t>B2B, B2C</t>
  </si>
  <si>
    <t>Lifestyle &amp; tourism guides</t>
  </si>
  <si>
    <t>[UUID- FK]</t>
  </si>
  <si>
    <t>id_mission</t>
  </si>
  <si>
    <t>mission_name</t>
  </si>
  <si>
    <t>description</t>
  </si>
  <si>
    <t>has_strategy_diag</t>
  </si>
  <si>
    <t>has_process_diag</t>
  </si>
  <si>
    <t>priority_strategy</t>
  </si>
  <si>
    <t>priority_revenue</t>
  </si>
  <si>
    <t>priority_cost</t>
  </si>
  <si>
    <t>priority_implementation</t>
  </si>
  <si>
    <t>status</t>
  </si>
  <si>
    <t>mis_001</t>
  </si>
  <si>
    <t>AI Strategy 360</t>
  </si>
  <si>
    <t>Initialized</t>
  </si>
  <si>
    <t>id_mission_function</t>
  </si>
  <si>
    <t>scope_function</t>
  </si>
  <si>
    <t>mis_001_func_001</t>
  </si>
  <si>
    <t>Marketing</t>
  </si>
  <si>
    <t>mis_001_func_002</t>
  </si>
  <si>
    <t>Sales &amp; Service</t>
  </si>
  <si>
    <t>id_diag_strategy</t>
  </si>
  <si>
    <t>is_customized</t>
  </si>
  <si>
    <t>is_deleted</t>
  </si>
  <si>
    <t>response_score</t>
  </si>
  <si>
    <t>response_confidence</t>
  </si>
  <si>
    <t>response_evidence</t>
  </si>
  <si>
    <t>response_comments</t>
  </si>
  <si>
    <t>is_answered</t>
  </si>
  <si>
    <t>mis_strat_001</t>
  </si>
  <si>
    <t>mis_strat_002</t>
  </si>
  <si>
    <t>#NA</t>
  </si>
  <si>
    <t>mis_strat_003</t>
  </si>
  <si>
    <t>mis_strat_004</t>
  </si>
  <si>
    <t>mis_strat_005</t>
  </si>
  <si>
    <t>mis_strat_006</t>
  </si>
  <si>
    <t>mis_strat_007</t>
  </si>
  <si>
    <t>mis_strat_008</t>
  </si>
  <si>
    <t>mis_strat_009</t>
  </si>
  <si>
    <t>mis_strat_010</t>
  </si>
  <si>
    <t>mis_strat_011</t>
  </si>
  <si>
    <t>mis_strat_012</t>
  </si>
  <si>
    <t>[formula]</t>
  </si>
  <si>
    <t>title_cat_L1_lib</t>
  </si>
  <si>
    <t>input_example</t>
  </si>
  <si>
    <t>operating_tool</t>
  </si>
  <si>
    <t>output_example</t>
  </si>
  <si>
    <t>yearly_volume_indicator</t>
  </si>
  <si>
    <t>sensitivity</t>
  </si>
  <si>
    <t>crit_02</t>
  </si>
  <si>
    <t>crit_03</t>
  </si>
  <si>
    <t>crit_04</t>
  </si>
  <si>
    <t>crit_05</t>
  </si>
  <si>
    <t>crit_06</t>
  </si>
  <si>
    <t>crit_07</t>
  </si>
  <si>
    <t>crit_08</t>
  </si>
  <si>
    <t>crit_09</t>
  </si>
  <si>
    <t>crit_10</t>
  </si>
  <si>
    <t>crit_11</t>
  </si>
  <si>
    <t>crit_12</t>
  </si>
  <si>
    <t>crit_13</t>
  </si>
  <si>
    <t>crit_14</t>
  </si>
  <si>
    <t>reco_WHY</t>
  </si>
  <si>
    <t>reco_RISK</t>
  </si>
  <si>
    <t>reco_TOOL</t>
  </si>
  <si>
    <t>reco_NEXT</t>
  </si>
  <si>
    <t>reco_EFFORT</t>
  </si>
  <si>
    <t>Strat. objective, budget; Market research</t>
  </si>
  <si>
    <t>Bureautic soft, Web Data search</t>
  </si>
  <si>
    <t>Plan (sectors/companies, budget/proba, Resp...)</t>
  </si>
  <si>
    <t>4 sessions /year</t>
  </si>
  <si>
    <t/>
  </si>
  <si>
    <t>[AI analysis getting the overall input from each sheet]</t>
  </si>
  <si>
    <t>Bureautic soft, eMail / Instant messenger, Web Data search, Meeting / Phone call</t>
  </si>
  <si>
    <t>200 sessions /year</t>
  </si>
  <si>
    <t>[number]</t>
  </si>
  <si>
    <t>id_report</t>
  </si>
  <si>
    <t>version_report</t>
  </si>
  <si>
    <t>output_type</t>
  </si>
  <si>
    <t>output_url</t>
  </si>
  <si>
    <t>is_active</t>
  </si>
  <si>
    <t>id_mission_type_lib</t>
  </si>
  <si>
    <t>title_mission_type_lib</t>
  </si>
  <si>
    <t>strat_01</t>
  </si>
  <si>
    <t>Strategy AI</t>
  </si>
  <si>
    <t>proc_01</t>
  </si>
  <si>
    <t>Process AI</t>
  </si>
  <si>
    <t>[gSheet-only helper]</t>
  </si>
  <si>
    <t>strat_01_01</t>
  </si>
  <si>
    <t>Reality check</t>
  </si>
  <si>
    <t>strat_01_02</t>
  </si>
  <si>
    <t>Materiality</t>
  </si>
  <si>
    <t>strat_01_03</t>
  </si>
  <si>
    <t>Market impact</t>
  </si>
  <si>
    <t>strat_01_04</t>
  </si>
  <si>
    <t>Internal impact</t>
  </si>
  <si>
    <t>strat_01_05</t>
  </si>
  <si>
    <t>Execution</t>
  </si>
  <si>
    <t>proc_01_01</t>
  </si>
  <si>
    <t>Strategy</t>
  </si>
  <si>
    <t>proc_01_02</t>
  </si>
  <si>
    <t>R&amp;D</t>
  </si>
  <si>
    <t>proc_01_03</t>
  </si>
  <si>
    <t>proc_01_04</t>
  </si>
  <si>
    <t>proc_01_05</t>
  </si>
  <si>
    <t>Operations</t>
  </si>
  <si>
    <t>proc_01_06</t>
  </si>
  <si>
    <t>Finance</t>
  </si>
  <si>
    <t>proc_01_07</t>
  </si>
  <si>
    <t>HR</t>
  </si>
  <si>
    <t>proc_01_08</t>
  </si>
  <si>
    <t>IT/IS</t>
  </si>
  <si>
    <t>proc_01_09</t>
  </si>
  <si>
    <t>Legal</t>
  </si>
  <si>
    <t>proc_01_10</t>
  </si>
  <si>
    <t>Communication</t>
  </si>
  <si>
    <t>title_cat_L2_lib</t>
  </si>
  <si>
    <t>strat_01_01_01</t>
  </si>
  <si>
    <t>Enjeu stratégique de l'IA</t>
  </si>
  <si>
    <t>strat_01_05_01</t>
  </si>
  <si>
    <t xml:space="preserve">Alignement avec les priorités </t>
  </si>
  <si>
    <t>strat_01_04_01</t>
  </si>
  <si>
    <t>Identification des cas d’usage</t>
  </si>
  <si>
    <t>strat_01_05_02</t>
  </si>
  <si>
    <t>Maturité data &amp; technologique</t>
  </si>
  <si>
    <t>strat_01_05_03</t>
  </si>
  <si>
    <t>Modèle opérationnel IA</t>
  </si>
  <si>
    <t>strat_01_04_02</t>
  </si>
  <si>
    <t>Roadmap &amp; priorisation</t>
  </si>
  <si>
    <t>strat_01_05_04</t>
  </si>
  <si>
    <t>Gouvernance &amp; risques</t>
  </si>
  <si>
    <t>strat_01_05_05</t>
  </si>
  <si>
    <t>Conduite du changement</t>
  </si>
  <si>
    <t>proc_01_04_01</t>
  </si>
  <si>
    <t>Sales Planning</t>
  </si>
  <si>
    <t>proc_01_04_02</t>
  </si>
  <si>
    <t>Business Development &amp; Lead Generation</t>
  </si>
  <si>
    <t>proc_01_04_03</t>
  </si>
  <si>
    <t>Outbound Prospecting</t>
  </si>
  <si>
    <t>proc_01_04_04</t>
  </si>
  <si>
    <t>Inbound Lead Management</t>
  </si>
  <si>
    <t>proc_01_04_05</t>
  </si>
  <si>
    <t>Opportunity Qualification &amp; Discovery</t>
  </si>
  <si>
    <t>proc_01_04_06</t>
  </si>
  <si>
    <t>Solutioning, Proposal &amp; Deal Management</t>
  </si>
  <si>
    <t>proc_01_04_07</t>
  </si>
  <si>
    <t>Sales Operations &amp; CRM</t>
  </si>
  <si>
    <t>proc_01_04_08</t>
  </si>
  <si>
    <t>Pipeline, Forecasting &amp; Performance Management</t>
  </si>
  <si>
    <t>proc_01_04_09</t>
  </si>
  <si>
    <t>Account Management &amp; Growth</t>
  </si>
  <si>
    <t>proc_01_04_10</t>
  </si>
  <si>
    <t>Customer Onboarding</t>
  </si>
  <si>
    <t>proc_01_04_11</t>
  </si>
  <si>
    <t>Customer Success Management</t>
  </si>
  <si>
    <t>proc_01_04_12</t>
  </si>
  <si>
    <t>Renewals &amp; Retention</t>
  </si>
  <si>
    <t>proc_01_04_13</t>
  </si>
  <si>
    <t>Customer Support / After-Sales Service</t>
  </si>
  <si>
    <t>proc_01_04_14</t>
  </si>
  <si>
    <t>Voice of Customer &amp; Continuous Improvement</t>
  </si>
  <si>
    <t>Business Planning</t>
  </si>
  <si>
    <t>Market Analysis</t>
  </si>
  <si>
    <t>Idea generation</t>
  </si>
  <si>
    <t>Innovation Management</t>
  </si>
  <si>
    <t>Intellectual property management</t>
  </si>
  <si>
    <t>Prototyping</t>
  </si>
  <si>
    <t>Research</t>
  </si>
  <si>
    <t>Research and Development</t>
  </si>
  <si>
    <t>Technology transfer</t>
  </si>
  <si>
    <t>STRATÉGIE</t>
  </si>
  <si>
    <t>Advertising &amp; SEO/SEA</t>
  </si>
  <si>
    <t>Affiliates &amp; Influencers Partnerships</t>
  </si>
  <si>
    <t>Analytics and Reporting</t>
  </si>
  <si>
    <t>Brand management</t>
  </si>
  <si>
    <t>Brand Management</t>
  </si>
  <si>
    <t>Content &amp; Social media</t>
  </si>
  <si>
    <t>Content Creation and Marketing</t>
  </si>
  <si>
    <t>Content CreationCreative Content Generation</t>
  </si>
  <si>
    <t>Content marketing</t>
  </si>
  <si>
    <t>Customer Feedback Management</t>
  </si>
  <si>
    <t>Event</t>
  </si>
  <si>
    <t>Lead generation &amp; campaign management</t>
  </si>
  <si>
    <t>Market research</t>
  </si>
  <si>
    <t>PersonalizationPersonalized Customer Experiences</t>
  </si>
  <si>
    <t>Product Design</t>
  </si>
  <si>
    <t>Product management</t>
  </si>
  <si>
    <t>Product or Service development</t>
  </si>
  <si>
    <t>Promotions</t>
  </si>
  <si>
    <t>Public relations</t>
  </si>
  <si>
    <t>ACQUISITION INBOUND</t>
  </si>
  <si>
    <t>ACQUISITION OUTBOUND</t>
  </si>
  <si>
    <t>FIDÉLISATION</t>
  </si>
  <si>
    <t>Demand Forecasting</t>
  </si>
  <si>
    <t>Facility management</t>
  </si>
  <si>
    <t>Inventory Management</t>
  </si>
  <si>
    <t>Logistics</t>
  </si>
  <si>
    <t>Maintenance and repair</t>
  </si>
  <si>
    <t>Order Processing</t>
  </si>
  <si>
    <t>Procurement</t>
  </si>
  <si>
    <t>Product Lifecycle Management</t>
  </si>
  <si>
    <t>Production</t>
  </si>
  <si>
    <t>Quality control</t>
  </si>
  <si>
    <t>Quality Control</t>
  </si>
  <si>
    <t>Supply chain management</t>
  </si>
  <si>
    <t>Supply Chain Management</t>
  </si>
  <si>
    <t>Accounting</t>
  </si>
  <si>
    <t>Treasury</t>
  </si>
  <si>
    <t>Corporate Finance</t>
  </si>
  <si>
    <t>Planning &amp; Analysis</t>
  </si>
  <si>
    <t>Audit &amp; Risk mgt</t>
  </si>
  <si>
    <t>Tax</t>
  </si>
  <si>
    <t>Investor Relations</t>
  </si>
  <si>
    <t>Training</t>
  </si>
  <si>
    <t>Comms</t>
  </si>
  <si>
    <t>Payroll</t>
  </si>
  <si>
    <t>Hire</t>
  </si>
  <si>
    <t>System</t>
  </si>
  <si>
    <t>Global</t>
  </si>
  <si>
    <t>Recruitment</t>
  </si>
  <si>
    <t>Compensation &amp; benefits (C&amp;B)</t>
  </si>
  <si>
    <t>Performance Management</t>
  </si>
  <si>
    <t>Carreer Development</t>
  </si>
  <si>
    <t>Social relations</t>
  </si>
  <si>
    <t>HR process and IS</t>
  </si>
  <si>
    <t>Employees relations ("HR BP")</t>
  </si>
  <si>
    <t>Application development</t>
  </si>
  <si>
    <t>Cybersecurity</t>
  </si>
  <si>
    <t>Data management</t>
  </si>
  <si>
    <t>Data Management</t>
  </si>
  <si>
    <t>Infrastructure management</t>
  </si>
  <si>
    <t>IT governance</t>
  </si>
  <si>
    <t>IT Support</t>
  </si>
  <si>
    <t>Software DevEnhancing Software Development Cycle</t>
  </si>
  <si>
    <t>SupportIncident Management Support</t>
  </si>
  <si>
    <t>System Development</t>
  </si>
  <si>
    <t>Technical support</t>
  </si>
  <si>
    <t>Contract management</t>
  </si>
  <si>
    <t>Contract Management</t>
  </si>
  <si>
    <t>Contract Writing and Legal Analysis</t>
  </si>
  <si>
    <t>Intellectual property law</t>
  </si>
  <si>
    <t>Legal Advising</t>
  </si>
  <si>
    <t>Legal counsel</t>
  </si>
  <si>
    <t>Regulatory compliance</t>
  </si>
  <si>
    <t>Regulatory Compliance</t>
  </si>
  <si>
    <t>Risk management</t>
  </si>
  <si>
    <t>External Communications</t>
  </si>
  <si>
    <t>Public Relations</t>
  </si>
  <si>
    <t>id_question_lib</t>
  </si>
  <si>
    <t>id_domain_lib</t>
  </si>
  <si>
    <t>id_category_L1_lib</t>
  </si>
  <si>
    <t>title_category_L1_lib</t>
  </si>
  <si>
    <t>id_category_L2_lib</t>
  </si>
  <si>
    <t>title_category_L2_lib</t>
  </si>
  <si>
    <t>id_category_L3_lib</t>
  </si>
  <si>
    <t>title_category_L3_lib</t>
  </si>
  <si>
    <t>question_lib</t>
  </si>
  <si>
    <t>question_description_lib</t>
  </si>
  <si>
    <t>response_is_global</t>
  </si>
  <si>
    <t>response_type</t>
  </si>
  <si>
    <t>prompt_type_lib</t>
  </si>
  <si>
    <t>prompt_lib</t>
  </si>
  <si>
    <t>sqdf</t>
  </si>
  <si>
    <t>0. Enjeu stratégique de l'IA</t>
  </si>
  <si>
    <t>GLOBAL CATEGORY ASST</t>
  </si>
  <si>
    <t>YES</t>
  </si>
  <si>
    <t>3 to 0</t>
  </si>
  <si>
    <t>Des acteurs natifs IA peuvent-ils offrir notre service à coût marginal proche de zéro ?</t>
  </si>
  <si>
    <t>L’IA modifie-t-elle les barrières à l’entrée ou la chaîne de valeur ?</t>
  </si>
  <si>
    <t>Notre cœur de valeur est-il basé sur l’analyse, la prévision ou l’expertise cognitive ?</t>
  </si>
  <si>
    <t>Notre proposition de valeur devient-elle automatisable ou commoditisée ?</t>
  </si>
  <si>
    <t>Un nouveau modèle économique est-il possible (plateforme, outcome-based pricing, data-as-a-service)</t>
  </si>
  <si>
    <t>La donnée peut-elle devenir un actif stratégique monétisable ?</t>
  </si>
  <si>
    <t xml:space="preserve">1. Alignement avec les priorités </t>
  </si>
  <si>
    <t>Quelles sont nos 3–5 priorités stratégiques à 3 ans ?</t>
  </si>
  <si>
    <t>Text</t>
  </si>
  <si>
    <t>Où sont nos principaux goulets d’étranglement ?</t>
  </si>
  <si>
    <t>Quelles décisions critiques reposent sur des données mal exploitées ?</t>
  </si>
  <si>
    <t>Cherchons-nous optimisation incrémentale, différenciation ou transformation ?</t>
  </si>
  <si>
    <t>2. Identification des cas d’usage</t>
  </si>
  <si>
    <t>Où l’IA peut-elle augmenter le revenu ?</t>
  </si>
  <si>
    <t>Où l’IA peut-elle réduire les coûts ?</t>
  </si>
  <si>
    <t>Où l’IA peut-elle réduire le risque ?</t>
  </si>
  <si>
    <t>Les données nécessaires sont-elles disponibles et exploitables ?</t>
  </si>
  <si>
    <t>Le ROI est-il mesurable à court ou moyen terme ?</t>
  </si>
  <si>
    <t>3. Maturité data &amp; technologique</t>
  </si>
  <si>
    <t>Les données sont-elles centralisées et de qualité suffisante ?</t>
  </si>
  <si>
    <t>L’infrastructure (cloud, APIs, outils ML) est-elle prête ?</t>
  </si>
  <si>
    <t>Avons-nous les talents nécessaires (data engineers, data scientists, product owners IA) ?</t>
  </si>
  <si>
    <t>La gouvernance data est-elle claire et conforme (RGPD, sécurité) ?</t>
  </si>
  <si>
    <t>4. Modèle opérationnel IA</t>
  </si>
  <si>
    <t>Y-a-t-il un responsable du ROI des cas d’usage ?</t>
  </si>
  <si>
    <t>Faut-il un centre d’excellence IA ou un modèle hybride ?</t>
  </si>
  <si>
    <t>Y-a-t-il un responsable de la maintenance et la surveillance des modèles en production ?</t>
  </si>
  <si>
    <t>Build, buy ou partenariat ?</t>
  </si>
  <si>
    <t>5. Roadmap &amp; priorisation</t>
  </si>
  <si>
    <t>Y-a-t-il des quick wins lançables sous 3 mois ?</t>
  </si>
  <si>
    <t>Quels prérequis data sont critiques ?</t>
  </si>
  <si>
    <t>Quel budget et quels indicateurs de succès ?</t>
  </si>
  <si>
    <t>6. Gouvernance &amp; risques</t>
  </si>
  <si>
    <t>Exécution</t>
  </si>
  <si>
    <t>Existe-t-il un comité IA formel ?</t>
  </si>
  <si>
    <t>Comment prévenir les biais et assurer l’auditabilité ?</t>
  </si>
  <si>
    <t>La cybersécurité est-elle adaptée aux usages IA ?</t>
  </si>
  <si>
    <t>7. Conduite du changement</t>
  </si>
  <si>
    <t>Les équipes comprennent-elles les enjeux IA ?</t>
  </si>
  <si>
    <t>Quels plans de formation sont nécessaires ?</t>
  </si>
  <si>
    <t>Les incitations sont-elles alignées avec l’usage des solutions IA ?</t>
  </si>
  <si>
    <t>Process</t>
  </si>
  <si>
    <t>Define ICP</t>
  </si>
  <si>
    <t>Define value proposition</t>
  </si>
  <si>
    <t>Segment market</t>
  </si>
  <si>
    <t>Choose sales motions</t>
  </si>
  <si>
    <t>Set sales targets</t>
  </si>
  <si>
    <t>Set commercial priorities and roadmap</t>
  </si>
  <si>
    <t>Build target account list</t>
  </si>
  <si>
    <t>Source leads</t>
  </si>
  <si>
    <t>Enrich lead data</t>
  </si>
  <si>
    <t>Validate lead quality</t>
  </si>
  <si>
    <t>Route leads</t>
  </si>
  <si>
    <t>Identify partnership opportunities</t>
  </si>
  <si>
    <t>Prepare outreach list</t>
  </si>
  <si>
    <t>Research account</t>
  </si>
  <si>
    <t>Research contact</t>
  </si>
  <si>
    <t>Craft outreach message</t>
  </si>
  <si>
    <t>Execute outreach</t>
  </si>
  <si>
    <t>Follow up</t>
  </si>
  <si>
    <t>Receive inbound inquiry</t>
  </si>
  <si>
    <t>Acknowledge lead</t>
  </si>
  <si>
    <t>Review lead context</t>
  </si>
  <si>
    <t>Qualify inbound lead</t>
  </si>
  <si>
    <t>Book next step</t>
  </si>
  <si>
    <t>Assess fit</t>
  </si>
  <si>
    <t>Assess need</t>
  </si>
  <si>
    <t>Assess authority</t>
  </si>
  <si>
    <t>Assess budget</t>
  </si>
  <si>
    <t>Assess timing</t>
  </si>
  <si>
    <t>Classify opportunity</t>
  </si>
  <si>
    <t>Prepare discovery call</t>
  </si>
  <si>
    <t>Run discovery meeting</t>
  </si>
  <si>
    <t>Document findings</t>
  </si>
  <si>
    <t>Confirm use case</t>
  </si>
  <si>
    <t>Agree next step</t>
  </si>
  <si>
    <t>Prepare tailored demo</t>
  </si>
  <si>
    <t>Run product demo</t>
  </si>
  <si>
    <t>Handle questions</t>
  </si>
  <si>
    <t>Collect feedback</t>
  </si>
  <si>
    <t>Refine positioning</t>
  </si>
  <si>
    <t>Scope offer</t>
  </si>
  <si>
    <t>Build pricing</t>
  </si>
  <si>
    <t>Write proposal</t>
  </si>
  <si>
    <t>Review proposal</t>
  </si>
  <si>
    <t>Send proposal</t>
  </si>
  <si>
    <t>Identify objection</t>
  </si>
  <si>
    <t>Classify objection</t>
  </si>
  <si>
    <t>Respond to objection</t>
  </si>
  <si>
    <t>Check resolution</t>
  </si>
  <si>
    <t>Prepare negotiation</t>
  </si>
  <si>
    <t>Discuss commercial terms</t>
  </si>
  <si>
    <t>Align internally</t>
  </si>
  <si>
    <t>Confirm verbal agreement</t>
  </si>
  <si>
    <t>Send contract</t>
  </si>
  <si>
    <t>Review legal comments</t>
  </si>
  <si>
    <t>Finalize terms</t>
  </si>
  <si>
    <t>Collect signature</t>
  </si>
  <si>
    <t>Store contract</t>
  </si>
  <si>
    <t>Verify close conditions</t>
  </si>
  <si>
    <t>Update close status</t>
  </si>
  <si>
    <t>Create handover package</t>
  </si>
  <si>
    <t>Create opportunity record</t>
  </si>
  <si>
    <t>Update opportunity stages</t>
  </si>
  <si>
    <t>Log activities</t>
  </si>
  <si>
    <t>Maintain data quality</t>
  </si>
  <si>
    <t>Close stale records</t>
  </si>
  <si>
    <t>Maintain sales templates and materials</t>
  </si>
  <si>
    <t>Support sales workflow execution</t>
  </si>
  <si>
    <t>Review pipeline</t>
  </si>
  <si>
    <t>Inspect deal health</t>
  </si>
  <si>
    <t>Prioritize opportunities</t>
  </si>
  <si>
    <t>Adjust action plans</t>
  </si>
  <si>
    <t>Report forecast</t>
  </si>
  <si>
    <t>Analyze sales performance and trends</t>
  </si>
  <si>
    <t>Review existing accounts</t>
  </si>
  <si>
    <t>Build account plan</t>
  </si>
  <si>
    <t>Run account check-ins</t>
  </si>
  <si>
    <t>Identify growth opportunities</t>
  </si>
  <si>
    <t>Prepare upsell proposal</t>
  </si>
  <si>
    <t>Prepare cross-sell proposal</t>
  </si>
  <si>
    <t>Launch expansion cycle</t>
  </si>
  <si>
    <t>Launch post-sale transition</t>
  </si>
  <si>
    <t>Schedule onboarding kickoff</t>
  </si>
  <si>
    <t>Confirm customer objectives</t>
  </si>
  <si>
    <t>Collect onboarding information</t>
  </si>
  <si>
    <t>Configure account or service setup</t>
  </si>
  <si>
    <t>Deliver initial training</t>
  </si>
  <si>
    <t>Resolve onboarding questions</t>
  </si>
  <si>
    <t>Monitor product usage</t>
  </si>
  <si>
    <t>Track adoption milestones</t>
  </si>
  <si>
    <t>Run success review</t>
  </si>
  <si>
    <t>Assess customer health</t>
  </si>
  <si>
    <t>Detect churn risk</t>
  </si>
  <si>
    <t>Capture customer feedback</t>
  </si>
  <si>
    <t>Run satisfaction survey</t>
  </si>
  <si>
    <t>Track renewal dates</t>
  </si>
  <si>
    <t>Assess renewal risk</t>
  </si>
  <si>
    <t>Prepare renewal proposal</t>
  </si>
  <si>
    <t>Negotiate renewal</t>
  </si>
  <si>
    <t>Close renewal</t>
  </si>
  <si>
    <t>Launch retention action</t>
  </si>
  <si>
    <t>Receive support request</t>
  </si>
  <si>
    <t>Classify issue</t>
  </si>
  <si>
    <t>Respond to customer issue</t>
  </si>
  <si>
    <t>Coordinate technical resolution</t>
  </si>
  <si>
    <t>Handle complaint</t>
  </si>
  <si>
    <t>Maintain FAQ response base</t>
  </si>
  <si>
    <t>Capture loss reason</t>
  </si>
  <si>
    <t>Classify loss pattern</t>
  </si>
  <si>
    <t>Review lessons learned</t>
  </si>
  <si>
    <t>Share insights</t>
  </si>
  <si>
    <t>Update playbooks</t>
  </si>
  <si>
    <t>Identify innovation opportunities and priorities</t>
  </si>
  <si>
    <t>Research market trends and customer needs</t>
  </si>
  <si>
    <t>Manage patent and trademark applications and renewals</t>
  </si>
  <si>
    <t>Monitor for intellectual property infringement and enforce rights</t>
  </si>
  <si>
    <t>Protect intellectual property (patents, trademarks)</t>
  </si>
  <si>
    <t>Design prototypes and proof-of-concepts</t>
  </si>
  <si>
    <t>Evaluate prototype feasibility and scalability</t>
  </si>
  <si>
    <t>Test and iterate prototypes</t>
  </si>
  <si>
    <t>Analyze research findings and develop reports</t>
  </si>
  <si>
    <t>Collaborate with external partners and experts</t>
  </si>
  <si>
    <t>Conduct studies, experiments, and literature reviews</t>
  </si>
  <si>
    <t>Collaborate with other functions (e.g., engineering, production)</t>
  </si>
  <si>
    <t>Develop commercialization plans and roadmaps</t>
  </si>
  <si>
    <t>Support product or service launch and scaling</t>
  </si>
  <si>
    <t>Macro Plan</t>
  </si>
  <si>
    <t>Analyse ces mots-clés métier: {keywords} pour {location}. Compétiteurs: {competitors}. Fournis: 1) Variations long-tail 2) Questions fréquentes 3) Intentions recherche 4) Difficulté</t>
  </si>
  <si>
    <t>Develop brand strategies and positioning</t>
  </si>
  <si>
    <t>Manage brand identity and guidelines</t>
  </si>
  <si>
    <t>Monitor brand performance and reputation</t>
  </si>
  <si>
    <t>Analyze content performance and engagement</t>
  </si>
  <si>
    <t>Create content strategies and calendars</t>
  </si>
  <si>
    <t>Produce and distribute content (blogs, articles, videos)</t>
  </si>
  <si>
    <t>Analyze customer data and trends</t>
  </si>
  <si>
    <t>Conduct surveys and focus groups</t>
  </si>
  <si>
    <t>Monitor competitors and market dynamics</t>
  </si>
  <si>
    <t>Define product features and specifications</t>
  </si>
  <si>
    <t>Manage product lifecycle and roadmap</t>
  </si>
  <si>
    <t>Set pricing strategies</t>
  </si>
  <si>
    <t>Market Research, Customer segmentation, Pricing strategy, Channel strategy</t>
  </si>
  <si>
    <t>Design marketing campaigns</t>
  </si>
  <si>
    <t>Execute promotional activities (advertising, events)</t>
  </si>
  <si>
    <t>Measure campaign effectiveness and ROI</t>
  </si>
  <si>
    <t>Develop corporate communications and messaging</t>
  </si>
  <si>
    <t>Manage media relations and press releases</t>
  </si>
  <si>
    <t>Respond to public inquiries and crises</t>
  </si>
  <si>
    <t>Stratégie SEO</t>
  </si>
  <si>
    <t>Pour ces mots-clés et types de contenu: {content_types}, en {language}, crée une structure de site optimisée SEO. Structure ta réponse avec: 1) Arborescence des pages 2) Clusters de contenus 3) Internal linking 4) Structure URLs.</t>
  </si>
  <si>
    <t>Keywords Map</t>
  </si>
  <si>
    <t>Configure un système de tracking pour: KPIs={kpis}, reporting={frequency}, sources={sources}. Définis les objectifs, événements et tableaux de bord.</t>
  </si>
  <si>
    <t>Analytics Setup</t>
  </si>
  <si>
    <t>Développe une stratégie de recherche et qualification pour: types={prospect_types}, critères={criteria}, sources={sources}</t>
  </si>
  <si>
    <t>Recherche Prospects</t>
  </si>
  <si>
    <t>Crée un plan d'onboarding pour: durée={duration}, points_attention={attention_points}, étapes={steps}, kpis={kpis}.</t>
  </si>
  <si>
    <t>Plan Onboarding</t>
  </si>
  <si>
    <t>Développe une stratégie d'upsell avec: produits={products}, timing={timing}, critères={criteria}, objectif={revenue_target}.</t>
  </si>
  <si>
    <t>Plan Upsell</t>
  </si>
  <si>
    <t>Crée un système de mesure satisfaction: fréquence={frequency}, kpis={kpis}, seuils={thresholds}, canaux={channels}.</t>
  </si>
  <si>
    <t>NPS/Satisfaction</t>
  </si>
  <si>
    <t>Coordinate space planning and office layout</t>
  </si>
  <si>
    <t>Ensure workplace safety and compliance with regulations</t>
  </si>
  <si>
    <t>Maintain facilities and equipment</t>
  </si>
  <si>
    <t>Coordinate transportation and shipping</t>
  </si>
  <si>
    <t>Manage warehousing, storage, and inventory</t>
  </si>
  <si>
    <t>Optimize logistics processes and efficiency</t>
  </si>
  <si>
    <t>Address equipment failures and malfunctions</t>
  </si>
  <si>
    <t>Manage maintenance schedules and service providers</t>
  </si>
  <si>
    <t>Perform routine maintenance and inspections</t>
  </si>
  <si>
    <t>Optimize production efficiency and cost management</t>
  </si>
  <si>
    <t>Oversee manufacturing processes and quality control</t>
  </si>
  <si>
    <t>Plan production schedules and capacity</t>
  </si>
  <si>
    <t>Develop quality standards and specifications</t>
  </si>
  <si>
    <t>Implement quality improvement initiatives and corrective actions</t>
  </si>
  <si>
    <t>Inspect products or services and conduct quality audits</t>
  </si>
  <si>
    <t>Ensure efficient flow of materials and information</t>
  </si>
  <si>
    <t>Manage supplier relationships and contracts</t>
  </si>
  <si>
    <t>Monitor supply chain risks and disruptions</t>
  </si>
  <si>
    <t>Accounting Standards</t>
  </si>
  <si>
    <t>Accounts Receivable</t>
  </si>
  <si>
    <t>Accounts Payable</t>
  </si>
  <si>
    <t>General Ledger</t>
  </si>
  <si>
    <t>Cash mgt</t>
  </si>
  <si>
    <t>Financial Strategy</t>
  </si>
  <si>
    <t>M&amp;A</t>
  </si>
  <si>
    <t>Budgeting</t>
  </si>
  <si>
    <t>Forecasting</t>
  </si>
  <si>
    <t>Performance Analysis</t>
  </si>
  <si>
    <t>Internal Audit</t>
  </si>
  <si>
    <t>Risk mgt</t>
  </si>
  <si>
    <t>Compliance</t>
  </si>
  <si>
    <t>Tax Planning</t>
  </si>
  <si>
    <t>Tax Compliance</t>
  </si>
  <si>
    <t>Transfer Pricing</t>
  </si>
  <si>
    <t>Financial Reporting</t>
  </si>
  <si>
    <t>ESG Reporting</t>
  </si>
  <si>
    <t>Plan</t>
  </si>
  <si>
    <t>Book</t>
  </si>
  <si>
    <t>Produce content</t>
  </si>
  <si>
    <t>Deliver</t>
  </si>
  <si>
    <t>Track KPI</t>
  </si>
  <si>
    <t>Assess satisfaction</t>
  </si>
  <si>
    <t>Source content</t>
  </si>
  <si>
    <t>Write</t>
  </si>
  <si>
    <t>Publish</t>
  </si>
  <si>
    <t>Prepare payroll notes</t>
  </si>
  <si>
    <t>Manage employee file</t>
  </si>
  <si>
    <t>Plan hiring</t>
  </si>
  <si>
    <t>Write job description</t>
  </si>
  <si>
    <t>Publish offer</t>
  </si>
  <si>
    <t>Source candidates</t>
  </si>
  <si>
    <t>Screen candidates</t>
  </si>
  <si>
    <t>Shortlist</t>
  </si>
  <si>
    <t>Phone interview</t>
  </si>
  <si>
    <t>Interview</t>
  </si>
  <si>
    <t>Decision</t>
  </si>
  <si>
    <t>Offer</t>
  </si>
  <si>
    <t>Onboarding prep</t>
  </si>
  <si>
    <t>Onboarding</t>
  </si>
  <si>
    <t>Data input</t>
  </si>
  <si>
    <t>Database management</t>
  </si>
  <si>
    <t>Workflow management</t>
  </si>
  <si>
    <t>Reporting</t>
  </si>
  <si>
    <t>Logs</t>
  </si>
  <si>
    <t>Automation</t>
  </si>
  <si>
    <t>OKRs and KPIs</t>
  </si>
  <si>
    <t>Analyse</t>
  </si>
  <si>
    <t>Use Code Interpreter to analyze current performance metrics against industry benchmarks.</t>
  </si>
  <si>
    <t>Roadmap and implementation plan</t>
  </si>
  <si>
    <t>Workforce planning: Skills Gap Analysis</t>
  </si>
  <si>
    <t>Use Code Interpreter to analyze workforce skillset data against future business requirements.</t>
  </si>
  <si>
    <t>Workforce planning: Yearly Recruitment Plan</t>
  </si>
  <si>
    <t>Create</t>
  </si>
  <si>
    <t>Develop a recruitment plan based on skills gap analysis results, business growth projections, and recruitment channels.</t>
  </si>
  <si>
    <t>Talent mgt: Employee Value Proposition</t>
  </si>
  <si>
    <t>Search</t>
  </si>
  <si>
    <t>Browse with Bing to find examples of successful employee value propositions in similar industries.</t>
  </si>
  <si>
    <t>Talent mgt: Culture</t>
  </si>
  <si>
    <t>Talent mgt: Development</t>
  </si>
  <si>
    <t>Create a development plan including principles of onboarding, performance management, career paths, and training.</t>
  </si>
  <si>
    <t>Talent mgt: Engagment</t>
  </si>
  <si>
    <t>Generate ideas for employee engagement mechanisms based on company culture insights and engagement survey results.</t>
  </si>
  <si>
    <t>Organizational Structure</t>
  </si>
  <si>
    <t>Use Code Interpreter to analyze the current organizational structure and propose a RACI matrix.</t>
  </si>
  <si>
    <t>Policies Compliance</t>
  </si>
  <si>
    <t>Generate a guideline for auditing HR policies to ensure legal and regulatory compliance.</t>
  </si>
  <si>
    <t>HR Policies development &amp; management</t>
  </si>
  <si>
    <t>Browse with Bing to find best practices in HR policy development and management.</t>
  </si>
  <si>
    <t>Management and reporting</t>
  </si>
  <si>
    <t>Create templates and guidelines for monitoring and reporting HR function metrics.</t>
  </si>
  <si>
    <t>OKRs, KPIs and reporting</t>
  </si>
  <si>
    <t>Generate recruitment-specific OKRs, KPIs, and monitoring reports based on industry benchmarks.</t>
  </si>
  <si>
    <t>Employer Branding</t>
  </si>
  <si>
    <t>Browse with Bing to explore successful employer branding strategies.</t>
  </si>
  <si>
    <t>Job need &amp; description</t>
  </si>
  <si>
    <t>Draft job descriptions based on role requirements, salary benchmarks, and departmental needs.</t>
  </si>
  <si>
    <t>Candidates channels sourcing</t>
  </si>
  <si>
    <t>Browse with Bing to identify effective recruitment channels for similar job roles.</t>
  </si>
  <si>
    <t>CVs screening &amp; pre-assessment</t>
  </si>
  <si>
    <t>Use Code Interpreter to analyze CVs received against the job description.</t>
  </si>
  <si>
    <t>Interview preparation &amp; synthesis</t>
  </si>
  <si>
    <t>Create interview questions and a synthesis template based on the job description and candidate profiles.</t>
  </si>
  <si>
    <t>Work contract</t>
  </si>
  <si>
    <t>Generate employment agreement templates based on employment law requirements and company policies.</t>
  </si>
  <si>
    <t>Softwares &amp; tools</t>
  </si>
  <si>
    <t>Browse with Bing to compare recruitment software and tools based on technical specifications.</t>
  </si>
  <si>
    <t>C&amp;B Market Benchmarking</t>
  </si>
  <si>
    <t>Browse with Bing to conduct market research on C&amp;B packages in the industry.</t>
  </si>
  <si>
    <t>C&amp;B package</t>
  </si>
  <si>
    <t>Design compensation packages incorporating benchmark data, legal requirements, and company budget.</t>
  </si>
  <si>
    <t>Legal Compliance</t>
  </si>
  <si>
    <t>Browse with Bing for updates on legal requirements in compensation and benefits.</t>
  </si>
  <si>
    <t>Salary Disbursement</t>
  </si>
  <si>
    <t>Provide guidelines for efficient and compliant salary disbursement processes.</t>
  </si>
  <si>
    <t>Reimbursement of expense claims</t>
  </si>
  <si>
    <t>Offer guidance on processing expense claims in accordance with company policy.</t>
  </si>
  <si>
    <t>Deductions Management</t>
  </si>
  <si>
    <t>Provide templates and best practices for managing tax and benefit deductions.</t>
  </si>
  <si>
    <t>Record Keeping</t>
  </si>
  <si>
    <t>Assist in establishing efficient payroll record-keeping practices.</t>
  </si>
  <si>
    <t>Browse with Bing for the latest payroll regulatory compliance requirements.</t>
  </si>
  <si>
    <t>Performance strategy design</t>
  </si>
  <si>
    <t>Provide frameworks for developing employee evaluation and ranking strategies.</t>
  </si>
  <si>
    <t>Goal Setting</t>
  </si>
  <si>
    <t>Assist in defining clear and measurable performance goals aligned with company objectives.</t>
  </si>
  <si>
    <t>Performance Metrics</t>
  </si>
  <si>
    <t>Suggest various metrics and KPIs for objective performance assessment.</t>
  </si>
  <si>
    <t>Performance Reviews &amp; reports</t>
  </si>
  <si>
    <t>Provide templates and guidelines for conducting performance reviews.</t>
  </si>
  <si>
    <t>Manager continuous feedback</t>
  </si>
  <si>
    <t>Offer strategies for managers to provide continuous feedback and coaching.</t>
  </si>
  <si>
    <t>Employee development Plan</t>
  </si>
  <si>
    <t>Assist in creating employee development plans based on performance data.</t>
  </si>
  <si>
    <t>Career Pathing</t>
  </si>
  <si>
    <t>Provide guidance for developing career progression paths for different roles.</t>
  </si>
  <si>
    <t>Mentorship Programs</t>
  </si>
  <si>
    <t>Suggest frameworks for creating mentorship and coaching programs.</t>
  </si>
  <si>
    <t>Skill Assessment</t>
  </si>
  <si>
    <t>Assist in identifying skill gaps and development needs.</t>
  </si>
  <si>
    <t>Professional Development</t>
  </si>
  <si>
    <t>Offer suggestions for training curricula based on career paths.</t>
  </si>
  <si>
    <t>Succession Planning</t>
  </si>
  <si>
    <t>Provide guidance on developing succession plans for future leadership.</t>
  </si>
  <si>
    <t>Needs Assessment</t>
  </si>
  <si>
    <t>Provide guidance on conducting training needs assessments.</t>
  </si>
  <si>
    <t>Training Program &amp; Plan</t>
  </si>
  <si>
    <t>Assist in defining training programs and plans for different employee levels.</t>
  </si>
  <si>
    <t>Training Design</t>
  </si>
  <si>
    <t>Help in designing tailored training courses for specific skill and knowledge areas.</t>
  </si>
  <si>
    <t>Evaluation</t>
  </si>
  <si>
    <t>Offer strategies for evaluating the effectiveness of training programs.</t>
  </si>
  <si>
    <t>Communication Plan</t>
  </si>
  <si>
    <t>Help in developing a comprehensive communication plan with key messages and channels.</t>
  </si>
  <si>
    <t>Communication material</t>
  </si>
  <si>
    <t>Assist in creating diverse communication materials such as presentations and videos.</t>
  </si>
  <si>
    <t>Feedback Mechanisms</t>
  </si>
  <si>
    <t>Suggest platforms and strategies for collecting employee feedback.</t>
  </si>
  <si>
    <t>Information Dissemination</t>
  </si>
  <si>
    <t>Provide guidance on effective information dissemination within the company.</t>
  </si>
  <si>
    <t>Union Relations</t>
  </si>
  <si>
    <t>Browse with Bing to research best practices in union relations and negotiation strategies.</t>
  </si>
  <si>
    <t>Health and Safety Committee (CHSCT in France)</t>
  </si>
  <si>
    <t>Offer strategies for managing workplace health and safety and compliance.</t>
  </si>
  <si>
    <t>Works Council (CE in France)</t>
  </si>
  <si>
    <t>Assist in collaborating with works councils on policy discussions and negotiations.</t>
  </si>
  <si>
    <t>Employee Representation</t>
  </si>
  <si>
    <t>Provide guidance on facilitating employee representation in decision-making.</t>
  </si>
  <si>
    <t>Browse with Bing for updates on labor laws and regulations.</t>
  </si>
  <si>
    <t>Process Optimization</t>
  </si>
  <si>
    <t>Provide suggestions for optimizing HR processes and tools.</t>
  </si>
  <si>
    <t>IS Implementation (project)</t>
  </si>
  <si>
    <t>Offer guidance on HR Information System implementation projects.</t>
  </si>
  <si>
    <t>External vendors relationships</t>
  </si>
  <si>
    <t>Provide strategies for managing relationships with external HR service providers.</t>
  </si>
  <si>
    <t>Assist in establishing data management practices for accuracy and security.</t>
  </si>
  <si>
    <t>Policy deployment</t>
  </si>
  <si>
    <t>Provide guidance on consistent policy implementation across the organization.</t>
  </si>
  <si>
    <t>Training deployment</t>
  </si>
  <si>
    <t>Assist in coordinating training strategy execution and logistics.</t>
  </si>
  <si>
    <t>Communication deployment</t>
  </si>
  <si>
    <t>Help in relaying communication and organizing employee engagement activities.</t>
  </si>
  <si>
    <t>Diversity &amp; Inclusion strategy deployment</t>
  </si>
  <si>
    <t>Suggest approaches for implementing diversity and inclusion initiatives.</t>
  </si>
  <si>
    <t>Workplace Culture deployment</t>
  </si>
  <si>
    <t>Provide strategies for cultivating a positive and inclusive workplace culture.</t>
  </si>
  <si>
    <t>Change Management</t>
  </si>
  <si>
    <t>Offer guidance on supporting departments through organizational changes.</t>
  </si>
  <si>
    <t>Employee Relations &amp; conflict</t>
  </si>
  <si>
    <t>Assist in addressing and resolving workplace issues and conflicts.</t>
  </si>
  <si>
    <t>Employee exit</t>
  </si>
  <si>
    <t>Provide templates and guidelines for managing employee exit processes.</t>
  </si>
  <si>
    <t>Design software applications and features</t>
  </si>
  <si>
    <t>Develop and maintain applications</t>
  </si>
  <si>
    <t>Test and debug applications and release updates</t>
  </si>
  <si>
    <t>Implement security policies and procedures</t>
  </si>
  <si>
    <t>Monitor and respond to security incidents and breaches</t>
  </si>
  <si>
    <t>Protect against cyber threats and vulnerabilities</t>
  </si>
  <si>
    <t>Ensure data security, privacy, and compliance</t>
  </si>
  <si>
    <t>Implement data backup and recovery plans</t>
  </si>
  <si>
    <t>Maintain data accuracy and integrity</t>
  </si>
  <si>
    <t>Ensure system availability and performance</t>
  </si>
  <si>
    <t>Maintain hardware and software systems</t>
  </si>
  <si>
    <t>Manage network systems and security</t>
  </si>
  <si>
    <t>Ensure compliance with IT standards and best practices</t>
  </si>
  <si>
    <t>Establish IT policies and procedures</t>
  </si>
  <si>
    <t>Oversee IT strategic planning and budgeting</t>
  </si>
  <si>
    <t>Maintain IT documentation and knowledge base</t>
  </si>
  <si>
    <t>Manage IT assets and licenses</t>
  </si>
  <si>
    <t>Provide user assistance and troubleshooting</t>
  </si>
  <si>
    <t>Conduct brainstorming sessions and workshops</t>
  </si>
  <si>
    <t>Develop and review contracts and agreements</t>
  </si>
  <si>
    <t>Manage contract execution, storage, and renewals</t>
  </si>
  <si>
    <t>Monitor contract compliance and performance</t>
  </si>
  <si>
    <t>Manage intellectual property disputes and litigation</t>
  </si>
  <si>
    <t>Protect intellectual property rights</t>
  </si>
  <si>
    <t>Draft and review legal documents and contracts</t>
  </si>
  <si>
    <t>Provide legal advice and guidance</t>
  </si>
  <si>
    <t>Represent the company in legal proceedings</t>
  </si>
  <si>
    <t>Develop compliance policies and procedures</t>
  </si>
  <si>
    <t>Ensure compliance with laws and regulations</t>
  </si>
  <si>
    <t>Monitor regulatory changes and updates</t>
  </si>
  <si>
    <t>Develop risk mitigation strategies and contingency plans</t>
  </si>
  <si>
    <t>Identify legal and regulatory risks</t>
  </si>
  <si>
    <t>id_criteria</t>
  </si>
  <si>
    <t>type_criteria</t>
  </si>
  <si>
    <t>title_criteria</t>
  </si>
  <si>
    <t>description_criteria</t>
  </si>
  <si>
    <t>importance</t>
  </si>
  <si>
    <t>fosters_ai</t>
  </si>
  <si>
    <t>score_ai</t>
  </si>
  <si>
    <t>crit_01</t>
  </si>
  <si>
    <t>value</t>
  </si>
  <si>
    <t>(value) FTE intensive</t>
  </si>
  <si>
    <t>Many people in the process / Variable with activity</t>
  </si>
  <si>
    <t>(value) Recurring</t>
  </si>
  <si>
    <t>Process frequency</t>
  </si>
  <si>
    <t>(value) Misquality</t>
  </si>
  <si>
    <t>Many errors in the process</t>
  </si>
  <si>
    <t>activity_type</t>
  </si>
  <si>
    <t>(feasib) Data collection</t>
  </si>
  <si>
    <t>crawl, query IS, contact stakeholders</t>
  </si>
  <si>
    <t>(feasib) Analysis &amp; Writing</t>
  </si>
  <si>
    <t>calculating/summarising, textual production</t>
  </si>
  <si>
    <t>(feasib) Multimedia</t>
  </si>
  <si>
    <t>creation of images / videos / audio</t>
  </si>
  <si>
    <t>(feasib) Interaction</t>
  </si>
  <si>
    <t>discussion, orchestration tasks, multiple stakeholders</t>
  </si>
  <si>
    <t>skill</t>
  </si>
  <si>
    <t>(feasib) Human_specific</t>
  </si>
  <si>
    <t>requires intuition, craft, adaptability + manual gesture</t>
  </si>
  <si>
    <t>(feasib) Business_specific</t>
  </si>
  <si>
    <t>strong business-specific/contextual knowledge</t>
  </si>
  <si>
    <t>structuration</t>
  </si>
  <si>
    <t>(feasib) Automated</t>
  </si>
  <si>
    <t>already tool-supported</t>
  </si>
  <si>
    <t>(feasib) Deterministic</t>
  </si>
  <si>
    <t>same logic every time</t>
  </si>
  <si>
    <t>(feasib) Documented</t>
  </si>
  <si>
    <t>existing methodology</t>
  </si>
  <si>
    <t>input</t>
  </si>
  <si>
    <t>(feasib) Structured data</t>
  </si>
  <si>
    <t>data already structured</t>
  </si>
  <si>
    <t>(feasib) Fresh data</t>
  </si>
  <si>
    <t>data remain fresh along the time</t>
  </si>
  <si>
    <t>id_reco</t>
  </si>
  <si>
    <t>recommendation</t>
  </si>
  <si>
    <t>value_min</t>
  </si>
  <si>
    <t>value_max</t>
  </si>
  <si>
    <t>feasibility_min</t>
  </si>
  <si>
    <t>feasibility_max</t>
  </si>
  <si>
    <t>reco_01</t>
  </si>
  <si>
    <t>🎯 Priority 1</t>
  </si>
  <si>
    <t>(value: high / feasibility: high)
Process compatible &amp; valuable for AI-powered workflow</t>
  </si>
  <si>
    <t>1,5</t>
  </si>
  <si>
    <t>2,0</t>
  </si>
  <si>
    <t>reco_02</t>
  </si>
  <si>
    <t>🏃‍➡️ Quick win</t>
  </si>
  <si>
    <t>(value: low / feasibility: high)
Process compatible for AI-powered workflow
-&gt; Assumption: foster AI-culture with quick deployment even on lower-value processes vs months for higher-value ones</t>
  </si>
  <si>
    <t>1,0</t>
  </si>
  <si>
    <t>1,499</t>
  </si>
  <si>
    <t>reco_03</t>
  </si>
  <si>
    <t>🛠️ Prepare first</t>
  </si>
  <si>
    <t>(value: high / feasibility: low)
Process/Data to first be restructured for AI-compliance</t>
  </si>
  <si>
    <t>reco_04</t>
  </si>
  <si>
    <t>⏸️ Postpone</t>
  </si>
  <si>
    <t>(value: low / feasibility: low)
Use only generic AI assistant/chatbot</t>
  </si>
  <si>
    <t>api_id</t>
  </si>
  <si>
    <t>api_label</t>
  </si>
  <si>
    <t>provider</t>
  </si>
  <si>
    <t>end_Point</t>
  </si>
  <si>
    <t>auth_Type</t>
  </si>
  <si>
    <t>format_Input</t>
  </si>
  <si>
    <t>format_Output</t>
  </si>
  <si>
    <t>rate_Limit</t>
  </si>
  <si>
    <t>response_mapping</t>
  </si>
  <si>
    <t>handling_error</t>
  </si>
  <si>
    <t>handling_rateLimit</t>
  </si>
  <si>
    <t>ai_model</t>
  </si>
  <si>
    <t>ai_temperature</t>
  </si>
  <si>
    <t>ai_max_tokens</t>
  </si>
  <si>
    <t>api_001</t>
  </si>
  <si>
    <t>OpenAI</t>
  </si>
  <si>
    <t>Text Generation</t>
  </si>
  <si>
    <t>https://api.openai.com/v1/chat/completions</t>
  </si>
  <si>
    <t>API Key</t>
  </si>
  <si>
    <t>Prompt</t>
  </si>
  <si>
    <t>JSON</t>
  </si>
  <si>
    <t>60/min</t>
  </si>
  <si>
    <t>{"content":"$.response.text","confidence":"$.response.score"}</t>
  </si>
  <si>
    <t>{"retryCount":3,"fallback":"manual_entry"}</t>
  </si>
  <si>
    <t>{"waitPeriod":60,"maxRetries":5}</t>
  </si>
  <si>
    <t>GPT5.4</t>
  </si>
  <si>
    <t>api_002</t>
  </si>
  <si>
    <t>Anthropic</t>
  </si>
  <si>
    <t>https://api.anthropic.com/v1/messages</t>
  </si>
  <si>
    <t>{"content":"$.completion","metaData":"$.stop_reason"}</t>
  </si>
  <si>
    <t>{"retryCount":3,"fallback":"skip"}</t>
  </si>
  <si>
    <t>{"waitPeriod":120,"maxRetries":3}</t>
  </si>
  <si>
    <t>Opus 4.6</t>
  </si>
  <si>
    <t>api_003</t>
  </si>
  <si>
    <t>Mistral</t>
  </si>
  <si>
    <t>https://api.mistral.ai/v1/chat/completions</t>
  </si>
  <si>
    <t>{"content":"$.choices[0].message.content","model":"$.model"}</t>
  </si>
  <si>
    <t>{"retryCount":2,"fallback":"alternative_model"}</t>
  </si>
  <si>
    <t>{"waitPeriod":90,"maxRetries":3}</t>
  </si>
  <si>
    <t>api_004</t>
  </si>
  <si>
    <t>Linkedin</t>
  </si>
  <si>
    <t>Social Networking</t>
  </si>
  <si>
    <t>https://api.linkedin.com/v2/</t>
  </si>
  <si>
    <t>OAuth 2.0</t>
  </si>
  <si>
    <t>100/hour</t>
  </si>
  <si>
    <t>{"profiles":"$.elements","total":"$.paging.total"}</t>
  </si>
  <si>
    <t>{"retryCount":1,"fallback":"cache"}</t>
  </si>
  <si>
    <t>{"waitPeriod":3600,"maxRetries":2}</t>
  </si>
  <si>
    <t>api_005</t>
  </si>
  <si>
    <t>Google Mail</t>
  </si>
  <si>
    <t>Email Management</t>
  </si>
  <si>
    <t>https://gmail.googleapis.com/gmail/v1/</t>
  </si>
  <si>
    <t>250/day</t>
  </si>
  <si>
    <t>{"messages":"$.messages","nextPageToken":"$.nextPageToken"}</t>
  </si>
  <si>
    <t>{"retryCount":2,"fallback":"notify_user"}</t>
  </si>
  <si>
    <t>{"waitPeriod":300,"maxRetries":3}</t>
  </si>
  <si>
    <t>api_006</t>
  </si>
  <si>
    <t>Google Docs</t>
  </si>
  <si>
    <t>Document creation</t>
  </si>
  <si>
    <t>https://docs.googleapis.com/v1/documents</t>
  </si>
  <si>
    <t>300/min</t>
  </si>
  <si>
    <t>{"content":"$.body.content","title":"$.title"}</t>
  </si>
  <si>
    <t>{"retryCount":3,"fallback":"local_save"}</t>
  </si>
  <si>
    <t>api_007</t>
  </si>
  <si>
    <t>Google Slides</t>
  </si>
  <si>
    <t>Slides creation</t>
  </si>
  <si>
    <t>https://slides.googleapis.com/v1/presentations</t>
  </si>
  <si>
    <t>{"slides":"$.slides","title":"$.title"}</t>
  </si>
  <si>
    <t>api_008</t>
  </si>
  <si>
    <t>Google Calendar</t>
  </si>
  <si>
    <t>Calendar management</t>
  </si>
  <si>
    <t>https://www.googleapis.com/calendar/v3/</t>
  </si>
  <si>
    <t>1000/day</t>
  </si>
  <si>
    <t>{"events":"$.items","nextToken":"$.nextPageToken"}</t>
  </si>
  <si>
    <t>api_009</t>
  </si>
  <si>
    <t>Google Form</t>
  </si>
  <si>
    <t>Form Management</t>
  </si>
  <si>
    <t>https://forms.googleapis.com/v1/forms</t>
  </si>
  <si>
    <t>500/day</t>
  </si>
  <si>
    <t>{"formId":"$.formId","items":"$.items"}</t>
  </si>
  <si>
    <t>{"retryCount":2,"fallback":"manual_retry"}</t>
  </si>
  <si>
    <t>{"waitPeriod":180,"maxRetries":3}</t>
  </si>
  <si>
    <t>api_010</t>
  </si>
  <si>
    <t>Canvas</t>
  </si>
  <si>
    <t>Design</t>
  </si>
  <si>
    <t>https://api.canva.com/v1/templates</t>
  </si>
  <si>
    <t>Design ID</t>
  </si>
  <si>
    <t>100/min</t>
  </si>
  <si>
    <t>{"templateUrl":"$.url","previewImage":"$.thumbnail"}</t>
  </si>
  <si>
    <t>{"retryCount":2,"fallback":"default_template"}</t>
  </si>
  <si>
    <t>{"waitPeriod":120,"maxRetries":4}</t>
  </si>
  <si>
    <t>api_011</t>
  </si>
  <si>
    <t>N8N</t>
  </si>
  <si>
    <t>Workflow automation</t>
  </si>
  <si>
    <t>https://[your-n8n-instance]/api/v1</t>
  </si>
  <si>
    <t>{"workflows":"$.data.workflows","totalCount":"$.data.totalCount"}
{"executions":"$.data.executions","count":"$.data.count","nextCursor":"$.data.nextCursor"}</t>
  </si>
  <si>
    <t>{"retryCount":3,"fallback":"manual_retry"}</t>
  </si>
  <si>
    <t>{"waitPeriod":60,"maxRetries":3}</t>
  </si>
  <si>
    <t>id_output_config</t>
  </si>
  <si>
    <t>output</t>
  </si>
  <si>
    <t>prompt_report_system</t>
  </si>
  <si>
    <t>prompt_report_template</t>
  </si>
  <si>
    <t>🚧 json_template</t>
  </si>
  <si>
    <t>output_folder_id</t>
  </si>
  <si>
    <t>default_language</t>
  </si>
  <si>
    <t>rep_001</t>
  </si>
  <si>
    <t>'- ROLE: You are an AI strategy consultant.
- GOAL: Produce a structured report for the selected company and mission.
---</t>
  </si>
  <si>
    <t>CONTEXT
{{COMPANY_CONTEXT}}
---
MISSION
{{MISSION_CONTEXT}}
---
DATA
{{MISSION_JSON}}
---
EXPECTED OUTPUT
1. Executive summary
2. Strategic risks from AI
3. Priority opportunities
4. Priority processes
5. Recommended roadmap
6. Key watchouts</t>
  </si>
  <si>
    <t>{
company: {
id: "...",
name: "...",
country: "...",
sector: "...",
subSector: "...",
offerType: "...",
clientType: "...",
description: "..."
},
mission: {
id: "...",
name: "...",
description: "...",
priority: {
strategy: ...,
revenue: ...,
cost: ...,
implementation: ...
}
},
diagnosis: {
strategy: [...],
processes: [...],
steps: [...]
}
}</t>
  </si>
  <si>
    <t>French</t>
  </si>
  <si>
    <t>id_option</t>
  </si>
  <si>
    <t>title_option</t>
  </si>
  <si>
    <t>option_2</t>
  </si>
  <si>
    <t>option_3</t>
  </si>
  <si>
    <t>option_4</t>
  </si>
  <si>
    <t>option_5</t>
  </si>
  <si>
    <t>option_6</t>
  </si>
  <si>
    <t>option_7</t>
  </si>
  <si>
    <t>option_8</t>
  </si>
  <si>
    <t>option_9</t>
  </si>
  <si>
    <t>option_10</t>
  </si>
  <si>
    <t>option_11</t>
  </si>
  <si>
    <t>option_12</t>
  </si>
  <si>
    <t>option_13</t>
  </si>
  <si>
    <t>option_14</t>
  </si>
  <si>
    <t>option_15</t>
  </si>
  <si>
    <t>opt_001</t>
  </si>
  <si>
    <t>scope_mission_type</t>
  </si>
  <si>
    <t>opt_002</t>
  </si>
  <si>
    <t>opt_003</t>
  </si>
  <si>
    <t>country</t>
  </si>
  <si>
    <t>US</t>
  </si>
  <si>
    <t>opt_004</t>
  </si>
  <si>
    <t>sector</t>
  </si>
  <si>
    <t>Agriculture &amp; Natural Resources</t>
  </si>
  <si>
    <t>Extraction &amp; Raw Materials</t>
  </si>
  <si>
    <t>Manufacturing</t>
  </si>
  <si>
    <t>Construction &amp; Infrastructure</t>
  </si>
  <si>
    <t>Energy &amp; Utilities</t>
  </si>
  <si>
    <t>Transportation &amp; Logistics</t>
  </si>
  <si>
    <t>Commerce &amp; Distribution</t>
  </si>
  <si>
    <t>Hospitality, Tourism &amp; Leisure</t>
  </si>
  <si>
    <t>Technology &amp; Software</t>
  </si>
  <si>
    <t>Telecommunications &amp; Digital Infrastructure</t>
  </si>
  <si>
    <t>Media &amp; Content</t>
  </si>
  <si>
    <t>Professional &amp; B2B Services</t>
  </si>
  <si>
    <t>Finance &amp; Insurance</t>
  </si>
  <si>
    <t>Real Estate</t>
  </si>
  <si>
    <t>Healthcare, Education &amp; Personal Services</t>
  </si>
  <si>
    <t>opt_005</t>
  </si>
  <si>
    <t>offer_type</t>
  </si>
  <si>
    <t>Extract raw material</t>
  </si>
  <si>
    <t>Make product</t>
  </si>
  <si>
    <t>Move / Sell product</t>
  </si>
  <si>
    <t>Serve</t>
  </si>
  <si>
    <t>Automate / Finance</t>
  </si>
  <si>
    <t>opt_006</t>
  </si>
  <si>
    <t>client_type</t>
  </si>
  <si>
    <t>B2B</t>
  </si>
  <si>
    <t>B2C</t>
  </si>
  <si>
    <t>B2G</t>
  </si>
  <si>
    <t>opt_007</t>
  </si>
  <si>
    <t>Select</t>
  </si>
  <si>
    <t>opt_008</t>
  </si>
  <si>
    <t>boolean</t>
  </si>
  <si>
    <t>opt_009</t>
  </si>
  <si>
    <t>field_type</t>
  </si>
  <si>
    <t>opt_010</t>
  </si>
  <si>
    <t>Draft</t>
  </si>
  <si>
    <t>Completed</t>
  </si>
  <si>
    <t>Reported</t>
  </si>
  <si>
    <t>CRITIERIA_TYPE</t>
  </si>
  <si>
    <t>criteria_desc.</t>
  </si>
  <si>
    <t>process impact on revenues</t>
  </si>
  <si>
    <t>process impact on costs</t>
  </si>
  <si>
    <t>time consuming</t>
  </si>
  <si>
    <t>repeated</t>
  </si>
  <si>
    <t>criteria_title</t>
  </si>
  <si>
    <t>Revenue</t>
  </si>
  <si>
    <t>Cost</t>
  </si>
  <si>
    <t>FTE intensive</t>
  </si>
  <si>
    <t>Recurring</t>
  </si>
  <si>
    <t>Data collection</t>
  </si>
  <si>
    <t>Analysis &amp; Writing</t>
  </si>
  <si>
    <t>Multimedia</t>
  </si>
  <si>
    <t>Interaction</t>
  </si>
  <si>
    <t>Human</t>
  </si>
  <si>
    <t>Business</t>
  </si>
  <si>
    <t>Automated</t>
  </si>
  <si>
    <t>Deterministic</t>
  </si>
  <si>
    <t>Documented</t>
  </si>
  <si>
    <t>Structured data</t>
  </si>
  <si>
    <t>Fresh data</t>
  </si>
  <si>
    <t>🚧 reco_Chatbot</t>
  </si>
  <si>
    <t>🚧 reco_Specific Tool</t>
  </si>
  <si>
    <t>🚧 reco_Custom workflow</t>
  </si>
  <si>
    <t>🚧 reco_AI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</si>
</sst>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0">
    <font>
      <sz val="10.0"/>
      <color rgb="FF000000"/>
      <name val="Arial"/>
      <scheme val="minor"/>
    </font>
    <font>
      <b/>
      <color rgb="FFF3F3F3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b/>
      <u/>
      <color theme="1"/>
      <name val="Arial"/>
      <scheme val="minor"/>
    </font>
    <font>
      <u/>
      <color rgb="FF999999"/>
      <name val="Arial"/>
      <scheme val="minor"/>
    </font>
    <font>
      <b/>
      <color theme="1"/>
      <name val="Arial"/>
      <scheme val="minor"/>
    </font>
    <font>
      <b/>
      <u/>
      <color rgb="FF0000FF"/>
    </font>
    <font>
      <sz val="8.0"/>
      <color rgb="FF999999"/>
      <name val="Arial"/>
      <scheme val="minor"/>
    </font>
    <font>
      <sz val="8.0"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rgb="FF999999"/>
      <name val="Arial"/>
      <scheme val="minor"/>
    </font>
    <font>
      <sz val="9.0"/>
      <color theme="1"/>
      <name val="Arial"/>
      <scheme val="minor"/>
    </font>
    <font>
      <b/>
      <sz val="9.0"/>
      <color rgb="FF000000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sz val="9.0"/>
      <color rgb="FF999999"/>
      <name val="Arial"/>
      <scheme val="minor"/>
    </font>
    <font>
      <sz val="8.0"/>
      <color rgb="FFF3F3F3"/>
      <name val="Arial"/>
      <scheme val="minor"/>
    </font>
    <font>
      <color rgb="FF0D0D0D"/>
      <name val="Arial"/>
    </font>
    <font>
      <b/>
      <color rgb="FF666666"/>
      <name val="Arial"/>
      <scheme val="minor"/>
    </font>
    <font>
      <b/>
      <sz val="8.0"/>
      <color rgb="FFFF9900"/>
      <name val="Arial"/>
      <scheme val="minor"/>
    </font>
    <font>
      <sz val="9.0"/>
      <color rgb="FFB7B7B7"/>
      <name val="Arial"/>
      <scheme val="minor"/>
    </font>
    <font>
      <sz val="9.0"/>
      <color rgb="FF000000"/>
      <name val="Arial"/>
      <scheme val="minor"/>
    </font>
    <font>
      <b/>
      <sz val="9.0"/>
      <color rgb="FFFF9900"/>
      <name val="Arial"/>
      <scheme val="minor"/>
    </font>
    <font>
      <sz val="9.0"/>
      <color rgb="FF000000"/>
      <name val="Calibri"/>
    </font>
    <font>
      <sz val="9.0"/>
      <color theme="1"/>
      <name val="Calibri"/>
    </font>
    <font>
      <b/>
      <sz val="9.0"/>
      <color theme="1"/>
      <name val="Calibri"/>
    </font>
    <font>
      <sz val="9.0"/>
      <color rgb="FF999999"/>
      <name val="Calibri"/>
    </font>
    <font>
      <sz val="9.0"/>
      <color rgb="FF666666"/>
      <name val="Calibri"/>
    </font>
    <font>
      <sz val="9.0"/>
      <color rgb="FF0D0D0D"/>
      <name val="Calibri"/>
    </font>
    <font>
      <b/>
      <color rgb="FF999999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rgb="FF999999"/>
      <name val="Arial"/>
      <scheme val="minor"/>
    </font>
    <font>
      <sz val="8.0"/>
      <color theme="1"/>
      <name val="Calibri"/>
    </font>
    <font>
      <u/>
      <sz val="8.0"/>
      <color rgb="FF0000FF"/>
      <name val="Calibri"/>
    </font>
    <font>
      <b/>
      <sz val="8.0"/>
      <color theme="1"/>
      <name val="Calibri"/>
    </font>
    <font>
      <sz val="8.0"/>
      <color rgb="FF666666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9">
    <border/>
    <border>
      <right style="thin">
        <color rgb="FFD9D9D9"/>
      </right>
      <bottom style="medium">
        <color rgb="FF666666"/>
      </bottom>
    </border>
    <border>
      <left style="thin">
        <color rgb="FFD9D9D9"/>
      </left>
      <right style="thin">
        <color rgb="FFD9D9D9"/>
      </right>
      <bottom style="medium">
        <color rgb="FF666666"/>
      </bottom>
    </border>
    <border>
      <left style="thin">
        <color rgb="FFD9D9D9"/>
      </left>
      <bottom style="medium">
        <color rgb="FF666666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B7B7B7"/>
      </bottom>
    </border>
    <border>
      <left style="thin">
        <color rgb="FFD9D9D9"/>
      </left>
      <top style="thin">
        <color rgb="FFD9D9D9"/>
      </top>
      <bottom style="medium">
        <color rgb="FFB7B7B7"/>
      </bottom>
    </border>
    <border>
      <right style="thin">
        <color rgb="FFD9D9D9"/>
      </right>
      <bottom style="medium">
        <color rgb="FFB7B7B7"/>
      </bottom>
    </border>
    <border>
      <left style="thin">
        <color rgb="FFD9D9D9"/>
      </left>
      <right style="thin">
        <color rgb="FFD9D9D9"/>
      </right>
      <bottom style="medium">
        <color rgb="FFB7B7B7"/>
      </bottom>
    </border>
    <border>
      <left style="thin">
        <color rgb="FFD9D9D9"/>
      </left>
      <bottom style="medium">
        <color rgb="FFB7B7B7"/>
      </bottom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right style="medium">
        <color rgb="FF000000"/>
      </right>
    </border>
    <border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666666"/>
      </right>
      <bottom style="thick">
        <color rgb="FF000000"/>
      </bottom>
    </border>
    <border>
      <right style="thin">
        <color rgb="FF000000"/>
      </right>
    </border>
    <border>
      <right style="thin">
        <color rgb="FF666666"/>
      </right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quotePrefix="1" borderId="0" fillId="0" fontId="5" numFmtId="0" xfId="0" applyAlignment="1" applyFont="1">
      <alignment readingOrder="0" vertical="top"/>
    </xf>
    <xf borderId="0" fillId="3" fontId="1" numFmtId="0" xfId="0" applyAlignment="1" applyFill="1" applyFont="1">
      <alignment horizontal="left" readingOrder="0" shrinkToFit="0" vertical="top" wrapText="0"/>
    </xf>
    <xf borderId="0" fillId="3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4" fontId="1" numFmtId="0" xfId="0" applyAlignment="1" applyFill="1" applyFont="1">
      <alignment horizontal="left" readingOrder="0" shrinkToFit="0" vertical="top" wrapText="0"/>
    </xf>
    <xf borderId="0" fillId="4" fontId="1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6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1" fillId="5" fontId="6" numFmtId="0" xfId="0" applyAlignment="1" applyBorder="1" applyFill="1" applyFont="1">
      <alignment readingOrder="0" shrinkToFit="0" vertical="top" wrapText="1"/>
    </xf>
    <xf borderId="2" fillId="5" fontId="6" numFmtId="0" xfId="0" applyAlignment="1" applyBorder="1" applyFont="1">
      <alignment readingOrder="0" shrinkToFit="0" vertical="top" wrapText="1"/>
    </xf>
    <xf borderId="3" fillId="5" fontId="6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quotePrefix="1" borderId="5" fillId="0" fontId="2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shrinkToFit="0" vertical="top" wrapText="1"/>
    </xf>
    <xf borderId="8" fillId="0" fontId="6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9" fillId="0" fontId="2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10" fillId="0" fontId="8" numFmtId="0" xfId="0" applyAlignment="1" applyBorder="1" applyFont="1">
      <alignment readingOrder="0" shrinkToFit="0" vertical="top" wrapText="1"/>
    </xf>
    <xf borderId="11" fillId="0" fontId="6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shrinkToFit="0" vertical="top" wrapText="1"/>
    </xf>
    <xf borderId="12" fillId="0" fontId="2" numFmtId="0" xfId="0" applyAlignment="1" applyBorder="1" applyFont="1">
      <alignment readingOrder="0" shrinkToFit="0" vertical="top" wrapText="1"/>
    </xf>
    <xf borderId="11" fillId="0" fontId="2" numFmtId="0" xfId="0" applyAlignment="1" applyBorder="1" applyFont="1">
      <alignment readingOrder="0" shrinkToFit="0" vertical="top" wrapText="1"/>
    </xf>
    <xf borderId="13" fillId="0" fontId="6" numFmtId="0" xfId="0" applyAlignment="1" applyBorder="1" applyFont="1">
      <alignment readingOrder="0" shrinkToFit="0" vertical="top" wrapText="1"/>
    </xf>
    <xf borderId="14" fillId="0" fontId="6" numFmtId="0" xfId="0" applyAlignment="1" applyBorder="1" applyFont="1">
      <alignment readingOrder="0" shrinkToFit="0" vertical="top" wrapText="1"/>
    </xf>
    <xf borderId="14" fillId="0" fontId="2" numFmtId="0" xfId="0" applyAlignment="1" applyBorder="1" applyFont="1">
      <alignment readingOrder="0" shrinkToFit="0" vertical="top" wrapText="1"/>
    </xf>
    <xf borderId="15" fillId="0" fontId="2" numFmtId="0" xfId="0" applyAlignment="1" applyBorder="1" applyFont="1">
      <alignment readingOrder="0" shrinkToFit="0" vertical="top" wrapText="1"/>
    </xf>
    <xf borderId="14" fillId="0" fontId="3" numFmtId="0" xfId="0" applyAlignment="1" applyBorder="1" applyFont="1">
      <alignment readingOrder="0" shrinkToFit="0" vertical="top" wrapText="1"/>
    </xf>
    <xf borderId="16" fillId="0" fontId="6" numFmtId="0" xfId="0" applyAlignment="1" applyBorder="1" applyFont="1">
      <alignment readingOrder="0" shrinkToFit="0" vertical="top" wrapText="1"/>
    </xf>
    <xf borderId="17" fillId="0" fontId="6" numFmtId="0" xfId="0" applyAlignment="1" applyBorder="1" applyFont="1">
      <alignment readingOrder="0" shrinkToFit="0" vertical="top" wrapText="1"/>
    </xf>
    <xf borderId="17" fillId="0" fontId="2" numFmtId="0" xfId="0" applyAlignment="1" applyBorder="1" applyFont="1">
      <alignment readingOrder="0" shrinkToFit="0" vertical="top" wrapText="1"/>
    </xf>
    <xf borderId="18" fillId="0" fontId="2" numFmtId="0" xfId="0" applyAlignment="1" applyBorder="1" applyFont="1">
      <alignment readingOrder="0" shrinkToFit="0" vertical="top" wrapText="1"/>
    </xf>
    <xf borderId="0" fillId="3" fontId="9" numFmtId="0" xfId="0" applyAlignment="1" applyFont="1">
      <alignment horizontal="center" readingOrder="0"/>
    </xf>
    <xf borderId="0" fillId="6" fontId="10" numFmtId="0" xfId="0" applyAlignment="1" applyFill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6" fontId="12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Font="1"/>
    <xf borderId="0" fillId="6" fontId="13" numFmtId="0" xfId="0" applyAlignment="1" applyFont="1">
      <alignment horizontal="center" readingOrder="0"/>
    </xf>
    <xf borderId="19" fillId="6" fontId="10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" numFmtId="0" xfId="0" applyAlignment="1" applyFont="1">
      <alignment readingOrder="0"/>
    </xf>
    <xf borderId="19" fillId="0" fontId="2" numFmtId="0" xfId="0" applyBorder="1" applyFont="1"/>
    <xf borderId="0" fillId="0" fontId="2" numFmtId="0" xfId="0" applyAlignment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7" fontId="9" numFmtId="0" xfId="0" applyAlignment="1" applyFill="1" applyFont="1">
      <alignment horizontal="center" readingOrder="0"/>
    </xf>
    <xf borderId="0" fillId="5" fontId="10" numFmtId="0" xfId="0" applyAlignment="1" applyFont="1">
      <alignment horizontal="center" readingOrder="0" shrinkToFit="0" vertical="center" wrapText="0"/>
    </xf>
    <xf borderId="0" fillId="7" fontId="10" numFmtId="0" xfId="0" applyAlignment="1" applyFont="1">
      <alignment horizontal="center" readingOrder="0" shrinkToFit="0" vertical="center" wrapText="0"/>
    </xf>
    <xf borderId="0" fillId="0" fontId="15" numFmtId="49" xfId="0" applyAlignment="1" applyFont="1" applyNumberFormat="1">
      <alignment horizontal="center" readingOrder="0" shrinkToFit="0" vertical="center" wrapText="0"/>
    </xf>
    <xf borderId="0" fillId="5" fontId="11" numFmtId="0" xfId="0" applyAlignment="1" applyFont="1">
      <alignment horizontal="left" readingOrder="0" vertical="center"/>
    </xf>
    <xf borderId="0" fillId="5" fontId="16" numFmtId="0" xfId="0" applyAlignment="1" applyFont="1">
      <alignment horizontal="left" readingOrder="0" vertical="center"/>
    </xf>
    <xf borderId="0" fillId="5" fontId="1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7" fontId="2" numFmtId="0" xfId="0" applyAlignment="1" applyFont="1">
      <alignment horizontal="center" shrinkToFit="0" vertical="center" wrapText="0"/>
    </xf>
    <xf borderId="20" fillId="0" fontId="2" numFmtId="0" xfId="0" applyAlignment="1" applyBorder="1" applyFont="1">
      <alignment horizontal="center" shrinkToFit="0" vertical="center" wrapText="0"/>
    </xf>
    <xf borderId="20" fillId="7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shrinkToFit="0" vertical="center" wrapText="0"/>
    </xf>
    <xf borderId="20" fillId="0" fontId="2" numFmtId="0" xfId="0" applyAlignment="1" applyBorder="1" applyFont="1">
      <alignment horizontal="center" readingOrder="0" shrinkToFit="0" vertical="center" wrapText="0"/>
    </xf>
    <xf borderId="20" fillId="7" fontId="2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vertical="center"/>
    </xf>
    <xf borderId="0" fillId="3" fontId="17" numFmtId="0" xfId="0" applyAlignment="1" applyFont="1">
      <alignment horizontal="center" readingOrder="0" vertical="center"/>
    </xf>
    <xf borderId="0" fillId="6" fontId="11" numFmtId="0" xfId="0" applyAlignment="1" applyFont="1">
      <alignment horizontal="left" readingOrder="0" vertical="center"/>
    </xf>
    <xf borderId="0" fillId="7" fontId="11" numFmtId="0" xfId="0" applyAlignment="1" applyFont="1">
      <alignment horizontal="left" readingOrder="0" vertical="center"/>
    </xf>
    <xf borderId="0" fillId="5" fontId="10" numFmtId="0" xfId="0" applyAlignment="1" applyFont="1">
      <alignment horizontal="left" readingOrder="0" shrinkToFit="0" vertical="center" wrapText="0"/>
    </xf>
    <xf borderId="0" fillId="6" fontId="10" numFmtId="0" xfId="0" applyAlignment="1" applyFont="1">
      <alignment horizontal="left" readingOrder="0" vertical="center"/>
    </xf>
    <xf borderId="21" fillId="6" fontId="10" numFmtId="0" xfId="0" applyAlignment="1" applyBorder="1" applyFont="1">
      <alignment horizontal="left" readingOrder="0" vertical="center"/>
    </xf>
    <xf borderId="21" fillId="6" fontId="11" numFmtId="0" xfId="0" applyAlignment="1" applyBorder="1" applyFont="1">
      <alignment horizontal="left" readingOrder="0" vertical="center"/>
    </xf>
    <xf borderId="22" fillId="6" fontId="11" numFmtId="0" xfId="0" applyAlignment="1" applyBorder="1" applyFont="1">
      <alignment horizontal="left" readingOrder="0" vertical="center"/>
    </xf>
    <xf borderId="23" fillId="6" fontId="6" numFmtId="0" xfId="0" applyAlignment="1" applyBorder="1" applyFont="1">
      <alignment horizontal="left" readingOrder="0" shrinkToFit="0" vertical="center" wrapText="1"/>
    </xf>
    <xf borderId="0" fillId="6" fontId="6" numFmtId="0" xfId="0" applyAlignment="1" applyFont="1">
      <alignment horizontal="left" readingOrder="0" shrinkToFit="0" vertical="center" wrapText="1"/>
    </xf>
    <xf borderId="0" fillId="6" fontId="3" numFmtId="0" xfId="0" applyAlignment="1" applyFont="1">
      <alignment horizontal="center" readingOrder="0" vertical="center"/>
    </xf>
    <xf borderId="0" fillId="6" fontId="16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8" fontId="18" numFmtId="0" xfId="0" applyAlignment="1" applyFill="1" applyFont="1">
      <alignment readingOrder="0" vertical="center"/>
    </xf>
    <xf borderId="21" fillId="0" fontId="2" numFmtId="0" xfId="0" applyAlignment="1" applyBorder="1" applyFont="1">
      <alignment vertical="center"/>
    </xf>
    <xf borderId="21" fillId="0" fontId="2" numFmtId="0" xfId="0" applyAlignment="1" applyBorder="1" applyFont="1">
      <alignment horizontal="center" readingOrder="0" shrinkToFit="0" vertical="center" wrapText="0"/>
    </xf>
    <xf borderId="0" fillId="6" fontId="19" numFmtId="164" xfId="0" applyAlignment="1" applyFont="1" applyNumberFormat="1">
      <alignment horizontal="center" vertical="center"/>
    </xf>
    <xf borderId="22" fillId="6" fontId="2" numFmtId="0" xfId="0" applyAlignment="1" applyBorder="1" applyFont="1">
      <alignment horizontal="center" vertical="center"/>
    </xf>
    <xf borderId="23" fillId="7" fontId="2" numFmtId="0" xfId="0" applyAlignment="1" applyBorder="1" applyFont="1">
      <alignment horizontal="left" readingOrder="0" vertical="center"/>
    </xf>
    <xf borderId="0" fillId="7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23" fillId="0" fontId="2" numFmtId="0" xfId="0" applyAlignment="1" applyBorder="1" applyFont="1">
      <alignment horizontal="center" vertical="center"/>
    </xf>
    <xf borderId="0" fillId="6" fontId="2" numFmtId="0" xfId="0" applyAlignment="1" applyFont="1">
      <alignment horizontal="center" vertical="center"/>
    </xf>
    <xf borderId="0" fillId="0" fontId="10" numFmtId="0" xfId="0" applyAlignment="1" applyFont="1">
      <alignment readingOrder="0"/>
    </xf>
    <xf borderId="0" fillId="6" fontId="11" numFmtId="0" xfId="0" applyAlignment="1" applyFont="1">
      <alignment readingOrder="0"/>
    </xf>
    <xf borderId="0" fillId="3" fontId="20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/>
    </xf>
    <xf borderId="0" fillId="0" fontId="15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21" numFmtId="0" xfId="0" applyAlignment="1" applyFont="1">
      <alignment horizontal="center" readingOrder="0"/>
    </xf>
    <xf borderId="0" fillId="0" fontId="21" numFmtId="0" xfId="0" applyAlignment="1" applyFont="1">
      <alignment horizontal="center"/>
    </xf>
    <xf borderId="0" fillId="0" fontId="15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10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left" readingOrder="0" shrinkToFit="0" vertical="top" wrapText="0"/>
    </xf>
    <xf borderId="0" fillId="3" fontId="22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0" fillId="3" fontId="23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vertical="center"/>
    </xf>
    <xf borderId="0" fillId="0" fontId="16" numFmtId="0" xfId="0" applyAlignment="1" applyFont="1">
      <alignment horizontal="center" readingOrder="0" vertical="center"/>
    </xf>
    <xf borderId="0" fillId="9" fontId="12" numFmtId="0" xfId="0" applyAlignment="1" applyFill="1" applyFont="1">
      <alignment readingOrder="0" vertical="center"/>
    </xf>
    <xf borderId="0" fillId="9" fontId="16" numFmtId="0" xfId="0" applyAlignment="1" applyFont="1">
      <alignment horizontal="center" readingOrder="0" vertical="center"/>
    </xf>
    <xf borderId="0" fillId="0" fontId="15" numFmtId="0" xfId="0" applyAlignment="1" applyFont="1">
      <alignment horizontal="left" readingOrder="0" shrinkToFit="0" vertical="center" wrapText="0"/>
    </xf>
    <xf borderId="0" fillId="3" fontId="24" numFmtId="0" xfId="0" applyAlignment="1" applyFont="1">
      <alignment horizontal="center" readingOrder="0"/>
    </xf>
    <xf borderId="0" fillId="3" fontId="24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horizontal="left" readingOrder="0" shrinkToFit="0" vertical="center" wrapText="0"/>
    </xf>
    <xf borderId="0" fillId="0" fontId="26" numFmtId="0" xfId="0" applyAlignment="1" applyFont="1">
      <alignment readingOrder="0"/>
    </xf>
    <xf borderId="0" fillId="7" fontId="26" numFmtId="0" xfId="0" applyAlignment="1" applyFont="1">
      <alignment readingOrder="0"/>
    </xf>
    <xf borderId="0" fillId="0" fontId="25" numFmtId="0" xfId="0" applyAlignment="1" applyFont="1">
      <alignment horizontal="left" readingOrder="0" shrinkToFit="0" vertical="center" wrapText="0"/>
    </xf>
    <xf borderId="0" fillId="0" fontId="25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horizontal="left" readingOrder="0" vertical="top"/>
    </xf>
    <xf borderId="0" fillId="0" fontId="27" numFmtId="0" xfId="0" applyAlignment="1" applyFont="1">
      <alignment horizontal="left" shrinkToFit="0" vertical="center" wrapText="0"/>
    </xf>
    <xf borderId="0" fillId="0" fontId="25" numFmtId="0" xfId="0" applyAlignment="1" applyFont="1">
      <alignment shrinkToFit="0" wrapText="0"/>
    </xf>
    <xf borderId="0" fillId="0" fontId="26" numFmtId="0" xfId="0" applyAlignment="1" applyFont="1">
      <alignment horizontal="left" shrinkToFit="0" vertical="center" wrapText="0"/>
    </xf>
    <xf borderId="0" fillId="0" fontId="25" numFmtId="0" xfId="0" applyAlignment="1" applyFont="1">
      <alignment readingOrder="0" shrinkToFit="0" wrapText="0"/>
    </xf>
    <xf borderId="0" fillId="0" fontId="25" numFmtId="0" xfId="0" applyAlignment="1" applyFont="1">
      <alignment horizontal="left" readingOrder="0" shrinkToFit="0" vertical="top" wrapText="0"/>
    </xf>
    <xf borderId="0" fillId="0" fontId="25" numFmtId="0" xfId="0" applyAlignment="1" applyFont="1">
      <alignment horizontal="left" readingOrder="0" vertical="top"/>
    </xf>
    <xf borderId="0" fillId="0" fontId="28" numFmtId="0" xfId="0" applyAlignment="1" applyFont="1">
      <alignment horizontal="left" readingOrder="0"/>
    </xf>
    <xf borderId="0" fillId="0" fontId="25" numFmtId="0" xfId="0" applyAlignment="1" applyFont="1">
      <alignment horizontal="left" shrinkToFit="0" vertical="top" wrapText="0"/>
    </xf>
    <xf borderId="0" fillId="0" fontId="25" numFmtId="0" xfId="0" applyAlignment="1" applyFont="1">
      <alignment horizontal="left" vertical="top"/>
    </xf>
    <xf borderId="0" fillId="0" fontId="25" numFmtId="0" xfId="0" applyAlignment="1" applyFont="1">
      <alignment horizontal="left" readingOrder="0" shrinkToFit="0" vertical="top" wrapText="0"/>
    </xf>
    <xf borderId="0" fillId="0" fontId="29" numFmtId="0" xfId="0" applyAlignment="1" applyFont="1">
      <alignment horizontal="left" readingOrder="0" vertical="top"/>
    </xf>
    <xf borderId="0" fillId="0" fontId="26" numFmtId="0" xfId="0" applyAlignment="1" applyFont="1">
      <alignment horizontal="left" readingOrder="0" shrinkToFit="0" vertical="top" wrapText="0"/>
    </xf>
    <xf borderId="0" fillId="6" fontId="30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31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6" fontId="1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readingOrder="0" vertical="center"/>
    </xf>
    <xf borderId="0" fillId="0" fontId="33" numFmtId="0" xfId="0" applyAlignment="1" applyFont="1">
      <alignment readingOrder="0" vertical="center"/>
    </xf>
    <xf borderId="0" fillId="0" fontId="32" numFmtId="49" xfId="0" applyAlignment="1" applyFont="1" applyNumberFormat="1">
      <alignment horizontal="center" readingOrder="0" vertical="center"/>
    </xf>
    <xf borderId="0" fillId="6" fontId="34" numFmtId="0" xfId="0" applyAlignment="1" applyFont="1">
      <alignment horizontal="center" readingOrder="0" vertical="center"/>
    </xf>
    <xf borderId="0" fillId="6" fontId="35" numFmtId="0" xfId="0" applyAlignment="1" applyFont="1">
      <alignment horizontal="center" readingOrder="0" vertical="center"/>
    </xf>
    <xf borderId="0" fillId="0" fontId="15" numFmtId="0" xfId="0" applyAlignment="1" applyFont="1">
      <alignment readingOrder="0" shrinkToFit="0" vertical="center" wrapText="0"/>
    </xf>
    <xf borderId="0" fillId="6" fontId="8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7" numFmtId="0" xfId="0" applyAlignment="1" applyFont="1">
      <alignment shrinkToFit="0" vertical="center" wrapText="0"/>
    </xf>
    <xf borderId="0" fillId="0" fontId="36" numFmtId="0" xfId="0" applyAlignment="1" applyFont="1">
      <alignment horizontal="center" shrinkToFit="0" vertical="center" wrapText="0"/>
    </xf>
    <xf borderId="0" fillId="0" fontId="36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7" fontId="6" numFmtId="0" xfId="0" applyAlignment="1" applyFont="1">
      <alignment horizontal="center" readingOrder="0" vertical="center"/>
    </xf>
    <xf borderId="0" fillId="5" fontId="6" numFmtId="0" xfId="0" applyAlignment="1" applyFont="1">
      <alignment readingOrder="0"/>
    </xf>
    <xf borderId="0" fillId="5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24" fillId="6" fontId="10" numFmtId="0" xfId="0" applyAlignment="1" applyBorder="1" applyFont="1">
      <alignment horizontal="left" readingOrder="0" vertical="center"/>
    </xf>
    <xf borderId="24" fillId="6" fontId="10" numFmtId="0" xfId="0" applyAlignment="1" applyBorder="1" applyFont="1">
      <alignment horizontal="center" readingOrder="0" vertical="center"/>
    </xf>
    <xf borderId="24" fillId="6" fontId="8" numFmtId="0" xfId="0" applyAlignment="1" applyBorder="1" applyFont="1">
      <alignment horizontal="center" readingOrder="0" vertical="center"/>
    </xf>
    <xf borderId="25" fillId="6" fontId="8" numFmtId="0" xfId="0" applyAlignment="1" applyBorder="1" applyFont="1">
      <alignment horizontal="center" readingOrder="0" vertical="center"/>
    </xf>
    <xf borderId="26" fillId="6" fontId="8" numFmtId="0" xfId="0" applyAlignment="1" applyBorder="1" applyFont="1">
      <alignment horizontal="center" readingOrder="0" vertical="center"/>
    </xf>
    <xf borderId="0" fillId="6" fontId="6" numFmtId="0" xfId="0" applyAlignment="1" applyFont="1">
      <alignment horizontal="left" readingOrder="0" vertical="center"/>
    </xf>
    <xf borderId="0" fillId="0" fontId="39" numFmtId="0" xfId="0" applyAlignment="1" applyFont="1">
      <alignment horizontal="left" readingOrder="0" vertical="center"/>
    </xf>
    <xf borderId="27" fillId="0" fontId="39" numFmtId="0" xfId="0" applyAlignment="1" applyBorder="1" applyFont="1">
      <alignment horizontal="left" readingOrder="0" vertical="center"/>
    </xf>
    <xf borderId="28" fillId="0" fontId="39" numFmtId="0" xfId="0" applyAlignment="1" applyBorder="1" applyFont="1">
      <alignment horizontal="left" readingOrder="0" vertical="center"/>
    </xf>
    <xf borderId="27" fillId="0" fontId="10" numFmtId="0" xfId="0" applyAlignment="1" applyBorder="1" applyFont="1">
      <alignment horizontal="center" readingOrder="0" vertical="center"/>
    </xf>
    <xf borderId="28" fillId="0" fontId="10" numFmtId="0" xfId="0" applyAlignment="1" applyBorder="1" applyFont="1">
      <alignment horizontal="center" readingOrder="0" vertical="center"/>
    </xf>
    <xf borderId="27" fillId="0" fontId="12" numFmtId="0" xfId="0" applyAlignment="1" applyBorder="1" applyFont="1">
      <alignment horizontal="center" readingOrder="0" vertical="center"/>
    </xf>
    <xf borderId="28" fillId="0" fontId="1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7">
    <dxf>
      <font>
        <b/>
        <color rgb="FFFFFFFF"/>
      </font>
      <fill>
        <patternFill patternType="solid">
          <fgColor rgb="FF1C4587"/>
          <bgColor rgb="FF1C4587"/>
        </patternFill>
      </fill>
      <border/>
    </dxf>
    <dxf>
      <font>
        <b/>
        <color rgb="FFF3F3F3"/>
      </font>
      <fill>
        <patternFill patternType="solid">
          <fgColor rgb="FF1155CC"/>
          <bgColor rgb="FF1155CC"/>
        </patternFill>
      </fill>
      <border/>
    </dxf>
    <dxf>
      <font>
        <b/>
        <color rgb="FFEFEFEF"/>
      </font>
      <fill>
        <patternFill patternType="solid">
          <fgColor rgb="FF3C78D8"/>
          <bgColor rgb="FF3C78D8"/>
        </patternFill>
      </fill>
      <border/>
    </dxf>
    <dxf>
      <font>
        <color rgb="FF1C4587"/>
      </font>
      <fill>
        <patternFill patternType="solid">
          <fgColor rgb="FF6D9EEB"/>
          <bgColor rgb="FF6D9EEB"/>
        </patternFill>
      </fill>
      <border/>
    </dxf>
    <dxf>
      <font>
        <color rgb="FF4285F4"/>
      </font>
      <fill>
        <patternFill patternType="solid">
          <fgColor rgb="FFA4C2F4"/>
          <bgColor rgb="FFA4C2F4"/>
        </patternFill>
      </fill>
      <border/>
    </dxf>
    <dxf>
      <font>
        <color rgb="FFB7B7B7"/>
      </font>
      <fill>
        <patternFill patternType="solid">
          <fgColor rgb="FFF3F3F3"/>
          <bgColor rgb="FFF3F3F3"/>
        </patternFill>
      </fill>
      <border/>
    </dxf>
    <dxf>
      <font>
        <color rgb="FF999999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84ahHScW5QYnLXIggvfyfQVDUaEbbAiGZNCTcqcuQs/edit?tab=t.0" TargetMode="External"/><Relationship Id="rId2" Type="http://schemas.openxmlformats.org/officeDocument/2006/relationships/hyperlink" Target="https://docs.google.com/spreadsheets/d/1fQ4fbUWqEZQF82UxvoNwNXq0qpQsYQaxf1DIpjorBtE/edit?gid=140963923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84ahHScW5QYnLXIggvfyfQVDUaEbbAiGZNCTcqcuQs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api.openai.com/v1/chat/completions" TargetMode="External"/><Relationship Id="rId2" Type="http://schemas.openxmlformats.org/officeDocument/2006/relationships/hyperlink" Target="https://api.anthropic.com/v1/complete" TargetMode="External"/><Relationship Id="rId3" Type="http://schemas.openxmlformats.org/officeDocument/2006/relationships/hyperlink" Target="https://api.mistral.ai/v1/chat/completions" TargetMode="External"/><Relationship Id="rId4" Type="http://schemas.openxmlformats.org/officeDocument/2006/relationships/hyperlink" Target="https://api.linkedin.com/v2/" TargetMode="External"/><Relationship Id="rId11" Type="http://schemas.openxmlformats.org/officeDocument/2006/relationships/drawing" Target="../drawings/drawing15.xml"/><Relationship Id="rId10" Type="http://schemas.openxmlformats.org/officeDocument/2006/relationships/hyperlink" Target="https://api.canva.com/v1/templates" TargetMode="External"/><Relationship Id="rId9" Type="http://schemas.openxmlformats.org/officeDocument/2006/relationships/hyperlink" Target="https://forms.googleapis.com/v1/forms" TargetMode="External"/><Relationship Id="rId5" Type="http://schemas.openxmlformats.org/officeDocument/2006/relationships/hyperlink" Target="https://gmail.googleapis.com/gmail/v1/" TargetMode="External"/><Relationship Id="rId6" Type="http://schemas.openxmlformats.org/officeDocument/2006/relationships/hyperlink" Target="https://docs.googleapis.com/v1/documents" TargetMode="External"/><Relationship Id="rId7" Type="http://schemas.openxmlformats.org/officeDocument/2006/relationships/hyperlink" Target="https://slides.googleapis.com/v1/presentations" TargetMode="External"/><Relationship Id="rId8" Type="http://schemas.openxmlformats.org/officeDocument/2006/relationships/hyperlink" Target="https://www.googleapis.com/calendar/v3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7.25"/>
    <col customWidth="1" min="3" max="3" width="37.75"/>
    <col customWidth="1" min="4" max="4" width="7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b">
        <v>1</v>
      </c>
      <c r="B2" s="2" t="s">
        <v>4</v>
      </c>
      <c r="C2" s="2" t="s">
        <v>5</v>
      </c>
      <c r="D2" s="3" t="s">
        <v>6</v>
      </c>
    </row>
    <row r="3">
      <c r="A3" s="2" t="b">
        <v>1</v>
      </c>
      <c r="B3" s="2" t="s">
        <v>4</v>
      </c>
      <c r="C3" s="2" t="s">
        <v>7</v>
      </c>
      <c r="D3" s="3" t="s">
        <v>8</v>
      </c>
    </row>
    <row r="4">
      <c r="A4" s="2" t="b">
        <v>1</v>
      </c>
      <c r="B4" s="2" t="s">
        <v>4</v>
      </c>
      <c r="C4" s="2" t="s">
        <v>9</v>
      </c>
      <c r="D4" s="3"/>
    </row>
    <row r="5">
      <c r="A5" s="2" t="b">
        <v>1</v>
      </c>
      <c r="B5" s="2" t="s">
        <v>10</v>
      </c>
      <c r="C5" s="2" t="s">
        <v>11</v>
      </c>
      <c r="D5" s="3" t="s">
        <v>12</v>
      </c>
    </row>
    <row r="6">
      <c r="A6" s="2" t="b">
        <v>1</v>
      </c>
      <c r="B6" s="2" t="s">
        <v>10</v>
      </c>
      <c r="C6" s="2" t="s">
        <v>13</v>
      </c>
      <c r="D6" s="3" t="s">
        <v>14</v>
      </c>
    </row>
    <row r="7">
      <c r="A7" s="2" t="b">
        <v>1</v>
      </c>
      <c r="B7" s="2" t="s">
        <v>10</v>
      </c>
      <c r="C7" s="2" t="s">
        <v>15</v>
      </c>
      <c r="D7" s="3" t="s">
        <v>16</v>
      </c>
    </row>
    <row r="8" ht="103.5" customHeight="1">
      <c r="A8" s="2" t="b">
        <v>0</v>
      </c>
      <c r="B8" s="2" t="s">
        <v>10</v>
      </c>
      <c r="C8" s="4" t="s">
        <v>17</v>
      </c>
      <c r="D8" s="3" t="s">
        <v>18</v>
      </c>
    </row>
    <row r="9">
      <c r="A9" s="2" t="b">
        <v>0</v>
      </c>
      <c r="B9" s="2" t="s">
        <v>4</v>
      </c>
      <c r="C9" s="2" t="s">
        <v>19</v>
      </c>
      <c r="D9" s="3" t="s">
        <v>20</v>
      </c>
    </row>
    <row r="10">
      <c r="A10" s="2" t="b">
        <v>0</v>
      </c>
      <c r="B10" s="2" t="s">
        <v>4</v>
      </c>
      <c r="C10" s="2" t="s">
        <v>21</v>
      </c>
      <c r="D10" s="3" t="s">
        <v>22</v>
      </c>
    </row>
    <row r="11">
      <c r="A11" s="2" t="b">
        <v>0</v>
      </c>
      <c r="B11" s="2" t="s">
        <v>23</v>
      </c>
      <c r="C11" s="2" t="s">
        <v>24</v>
      </c>
      <c r="D11" s="5" t="s">
        <v>25</v>
      </c>
    </row>
  </sheetData>
  <dataValidations>
    <dataValidation type="list" allowBlank="1" showErrorMessage="1" sqref="B2:B11">
      <formula1>"Content,Structure,Specification"</formula1>
    </dataValidation>
  </dataValidations>
  <hyperlinks>
    <hyperlink r:id="rId1" ref="C8"/>
    <hyperlink r:id="rId2" location="gid=1409639230" ref="D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0.5"/>
    <col customWidth="1" min="2" max="2" width="24.88"/>
    <col customWidth="1" min="3" max="3" width="23.13"/>
    <col customWidth="1" min="4" max="4" width="20.38"/>
    <col customWidth="1" min="5" max="5" width="55.13"/>
  </cols>
  <sheetData>
    <row r="1" ht="16.5" customHeight="1">
      <c r="A1" s="6" t="s">
        <v>26</v>
      </c>
      <c r="B1" s="7"/>
      <c r="C1" s="7"/>
      <c r="D1" s="7"/>
      <c r="E1" s="7"/>
    </row>
    <row r="2" ht="16.5" customHeight="1">
      <c r="A2" s="8"/>
      <c r="B2" s="9"/>
      <c r="C2" s="9"/>
      <c r="D2" s="9"/>
      <c r="E2" s="9"/>
    </row>
    <row r="3" ht="16.5" customHeight="1">
      <c r="A3" s="10" t="s">
        <v>10</v>
      </c>
      <c r="B3" s="11" t="s">
        <v>27</v>
      </c>
      <c r="C3" s="12"/>
      <c r="D3" s="12"/>
      <c r="E3" s="12"/>
    </row>
    <row r="4" ht="16.5" customHeight="1">
      <c r="A4" s="13"/>
      <c r="B4" s="12"/>
      <c r="C4" s="12"/>
      <c r="D4" s="12"/>
      <c r="E4" s="12"/>
    </row>
    <row r="5" ht="16.5" customHeight="1">
      <c r="A5" s="14" t="s">
        <v>28</v>
      </c>
      <c r="B5" s="15"/>
      <c r="C5" s="15"/>
      <c r="D5" s="15"/>
      <c r="E5" s="15"/>
    </row>
    <row r="6" ht="16.5" customHeight="1">
      <c r="A6" s="16"/>
      <c r="B6" s="16"/>
      <c r="C6" s="16"/>
      <c r="D6" s="16"/>
      <c r="E6" s="16"/>
    </row>
    <row r="7" outlineLevel="1">
      <c r="A7" s="2" t="s">
        <v>29</v>
      </c>
      <c r="B7" s="16"/>
      <c r="C7" s="16"/>
      <c r="D7" s="16"/>
      <c r="E7" s="16"/>
    </row>
    <row r="8" outlineLevel="1">
      <c r="A8" s="2"/>
      <c r="B8" s="16"/>
      <c r="C8" s="16"/>
      <c r="D8" s="16"/>
      <c r="E8" s="16"/>
    </row>
    <row r="9" outlineLevel="1">
      <c r="A9" s="2" t="s">
        <v>30</v>
      </c>
      <c r="B9" s="16"/>
      <c r="C9" s="16"/>
      <c r="D9" s="16"/>
      <c r="E9" s="16"/>
    </row>
    <row r="10" outlineLevel="1">
      <c r="A10" s="2"/>
      <c r="B10" s="16"/>
      <c r="C10" s="16"/>
      <c r="D10" s="16"/>
      <c r="E10" s="16"/>
    </row>
    <row r="11" outlineLevel="1">
      <c r="A11" s="2" t="s">
        <v>31</v>
      </c>
      <c r="B11" s="16"/>
      <c r="C11" s="16"/>
      <c r="D11" s="16"/>
      <c r="E11" s="16"/>
    </row>
    <row r="12" outlineLevel="1">
      <c r="A12" s="2"/>
      <c r="B12" s="16"/>
      <c r="C12" s="16"/>
      <c r="D12" s="16"/>
      <c r="E12" s="16"/>
    </row>
    <row r="13" outlineLevel="1">
      <c r="A13" s="2" t="s">
        <v>32</v>
      </c>
      <c r="B13" s="16"/>
      <c r="C13" s="16"/>
      <c r="D13" s="16"/>
      <c r="E13" s="16"/>
    </row>
    <row r="14" outlineLevel="1">
      <c r="A14" s="2"/>
      <c r="B14" s="17"/>
      <c r="C14" s="17"/>
      <c r="D14" s="17"/>
      <c r="E14" s="17"/>
    </row>
    <row r="15" outlineLevel="1">
      <c r="A15" s="2" t="s">
        <v>33</v>
      </c>
      <c r="B15" s="17"/>
      <c r="C15" s="17"/>
      <c r="D15" s="17"/>
      <c r="E15" s="17"/>
    </row>
    <row r="16" ht="16.5" customHeight="1" outlineLevel="1">
      <c r="A16" s="18"/>
      <c r="B16" s="16"/>
      <c r="C16" s="16"/>
      <c r="D16" s="16"/>
      <c r="E16" s="16"/>
    </row>
    <row r="17" ht="16.5" customHeight="1">
      <c r="A17" s="14" t="s">
        <v>34</v>
      </c>
      <c r="B17" s="15"/>
      <c r="C17" s="15"/>
      <c r="D17" s="15"/>
      <c r="E17" s="15"/>
    </row>
    <row r="18" ht="16.5" customHeight="1">
      <c r="A18" s="2"/>
      <c r="B18" s="2"/>
      <c r="C18" s="2"/>
      <c r="D18" s="2"/>
      <c r="E18" s="2"/>
    </row>
    <row r="19" ht="16.5" customHeight="1" outlineLevel="1">
      <c r="A19" s="19" t="s">
        <v>35</v>
      </c>
      <c r="B19" s="20" t="s">
        <v>36</v>
      </c>
      <c r="C19" s="20" t="s">
        <v>37</v>
      </c>
      <c r="D19" s="21" t="s">
        <v>38</v>
      </c>
      <c r="E19" s="20" t="s">
        <v>39</v>
      </c>
    </row>
    <row r="20" outlineLevel="1">
      <c r="A20" s="22" t="s">
        <v>40</v>
      </c>
      <c r="B20" s="23" t="s">
        <v>41</v>
      </c>
      <c r="C20" s="24" t="s">
        <v>42</v>
      </c>
      <c r="D20" s="25" t="s">
        <v>43</v>
      </c>
      <c r="E20" s="26" t="s">
        <v>44</v>
      </c>
    </row>
    <row r="21" outlineLevel="1">
      <c r="A21" s="27" t="s">
        <v>40</v>
      </c>
      <c r="B21" s="28" t="s">
        <v>45</v>
      </c>
      <c r="C21" s="29" t="s">
        <v>46</v>
      </c>
      <c r="D21" s="30" t="s">
        <v>47</v>
      </c>
      <c r="E21" s="31" t="s">
        <v>48</v>
      </c>
    </row>
    <row r="22" outlineLevel="1">
      <c r="A22" s="32" t="s">
        <v>40</v>
      </c>
      <c r="B22" s="33" t="s">
        <v>49</v>
      </c>
      <c r="C22" s="34" t="s">
        <v>46</v>
      </c>
      <c r="D22" s="35" t="s">
        <v>50</v>
      </c>
      <c r="E22" s="36" t="s">
        <v>51</v>
      </c>
    </row>
    <row r="23" outlineLevel="1">
      <c r="A23" s="37" t="s">
        <v>52</v>
      </c>
      <c r="B23" s="38" t="s">
        <v>53</v>
      </c>
      <c r="C23" s="39" t="s">
        <v>54</v>
      </c>
      <c r="D23" s="40" t="s">
        <v>55</v>
      </c>
      <c r="E23" s="41" t="s">
        <v>56</v>
      </c>
    </row>
    <row r="24" outlineLevel="1">
      <c r="A24" s="22" t="s">
        <v>57</v>
      </c>
      <c r="B24" s="23" t="s">
        <v>58</v>
      </c>
      <c r="C24" s="24" t="s">
        <v>59</v>
      </c>
      <c r="D24" s="25" t="s">
        <v>60</v>
      </c>
      <c r="E24" s="24" t="s">
        <v>61</v>
      </c>
    </row>
    <row r="25" outlineLevel="1">
      <c r="A25" s="27" t="s">
        <v>57</v>
      </c>
      <c r="B25" s="28" t="s">
        <v>62</v>
      </c>
      <c r="C25" s="31" t="s">
        <v>63</v>
      </c>
      <c r="D25" s="30" t="s">
        <v>64</v>
      </c>
      <c r="E25" s="31" t="s">
        <v>65</v>
      </c>
    </row>
    <row r="26" outlineLevel="1">
      <c r="A26" s="27" t="s">
        <v>57</v>
      </c>
      <c r="B26" s="28" t="s">
        <v>66</v>
      </c>
      <c r="C26" s="31" t="s">
        <v>67</v>
      </c>
      <c r="D26" s="30" t="s">
        <v>68</v>
      </c>
      <c r="E26" s="31" t="s">
        <v>69</v>
      </c>
    </row>
    <row r="27" outlineLevel="1">
      <c r="A27" s="27" t="s">
        <v>57</v>
      </c>
      <c r="B27" s="28" t="s">
        <v>70</v>
      </c>
      <c r="C27" s="29" t="s">
        <v>46</v>
      </c>
      <c r="D27" s="30" t="s">
        <v>71</v>
      </c>
      <c r="E27" s="31" t="s">
        <v>72</v>
      </c>
    </row>
    <row r="28" outlineLevel="1">
      <c r="A28" s="27" t="s">
        <v>57</v>
      </c>
      <c r="B28" s="28" t="s">
        <v>73</v>
      </c>
      <c r="C28" s="29" t="s">
        <v>46</v>
      </c>
      <c r="D28" s="30" t="s">
        <v>74</v>
      </c>
      <c r="E28" s="31" t="s">
        <v>75</v>
      </c>
    </row>
    <row r="29" outlineLevel="1">
      <c r="A29" s="32" t="s">
        <v>57</v>
      </c>
      <c r="B29" s="33" t="s">
        <v>76</v>
      </c>
      <c r="C29" s="34" t="s">
        <v>46</v>
      </c>
      <c r="D29" s="35" t="s">
        <v>77</v>
      </c>
      <c r="E29" s="36" t="s">
        <v>78</v>
      </c>
    </row>
    <row r="30" outlineLevel="1">
      <c r="A30" s="42" t="s">
        <v>79</v>
      </c>
      <c r="B30" s="43" t="s">
        <v>80</v>
      </c>
      <c r="C30" s="44" t="s">
        <v>81</v>
      </c>
      <c r="D30" s="45" t="s">
        <v>82</v>
      </c>
      <c r="E30" s="44" t="s">
        <v>83</v>
      </c>
    </row>
    <row r="31" ht="16.5" customHeight="1" outlineLevel="1">
      <c r="A31" s="18"/>
      <c r="B31" s="18"/>
      <c r="C31" s="18"/>
      <c r="D31" s="18"/>
      <c r="E31" s="18"/>
    </row>
  </sheetData>
  <hyperlinks>
    <hyperlink r:id="rId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2.25"/>
    <col customWidth="1" min="2" max="2" width="13.38"/>
    <col customWidth="1" min="3" max="3" width="13.75"/>
    <col customWidth="1" min="4" max="4" width="12.25"/>
    <col customWidth="1" min="5" max="5" width="25.13"/>
    <col customWidth="1" min="6" max="6" width="12.75"/>
    <col customWidth="1" min="7" max="7" width="20.13"/>
    <col customWidth="1" min="8" max="8" width="12.25"/>
    <col customWidth="1" min="9" max="9" width="17.75"/>
    <col customWidth="1" min="10" max="10" width="12.13"/>
    <col customWidth="1" min="11" max="11" width="8.5"/>
    <col customWidth="1" min="12" max="12" width="9.0"/>
    <col customWidth="1" min="13" max="13" width="9.38"/>
  </cols>
  <sheetData>
    <row r="1" outlineLevel="1">
      <c r="A1" s="46" t="s">
        <v>84</v>
      </c>
      <c r="B1" s="46" t="s">
        <v>85</v>
      </c>
      <c r="C1" s="46" t="s">
        <v>85</v>
      </c>
      <c r="D1" s="46" t="s">
        <v>86</v>
      </c>
      <c r="E1" s="46" t="s">
        <v>86</v>
      </c>
      <c r="F1" s="46" t="s">
        <v>85</v>
      </c>
      <c r="G1" s="46" t="s">
        <v>86</v>
      </c>
      <c r="H1" s="46" t="s">
        <v>86</v>
      </c>
      <c r="I1" s="46" t="s">
        <v>85</v>
      </c>
      <c r="J1" s="46" t="s">
        <v>87</v>
      </c>
      <c r="K1" s="46" t="s">
        <v>85</v>
      </c>
      <c r="L1" s="46" t="s">
        <v>88</v>
      </c>
      <c r="M1" s="46" t="s">
        <v>88</v>
      </c>
    </row>
    <row r="2">
      <c r="A2" s="47" t="s">
        <v>89</v>
      </c>
      <c r="B2" s="47" t="s">
        <v>90</v>
      </c>
      <c r="C2" s="47" t="s">
        <v>91</v>
      </c>
      <c r="D2" s="47" t="str">
        <f>'_options_list'!B5</f>
        <v>country</v>
      </c>
      <c r="E2" s="48" t="str">
        <f>'_options_list'!B6</f>
        <v>sector</v>
      </c>
      <c r="F2" s="47" t="s">
        <v>92</v>
      </c>
      <c r="G2" s="48" t="str">
        <f>'_options_list'!B7</f>
        <v>offer_type</v>
      </c>
      <c r="H2" s="48" t="str">
        <f>'_options_list'!B8</f>
        <v>client_type</v>
      </c>
      <c r="I2" s="47" t="s">
        <v>93</v>
      </c>
      <c r="J2" s="49" t="s">
        <v>94</v>
      </c>
      <c r="K2" s="47" t="s">
        <v>95</v>
      </c>
      <c r="L2" s="47" t="s">
        <v>96</v>
      </c>
      <c r="M2" s="47" t="s">
        <v>97</v>
      </c>
    </row>
    <row r="3">
      <c r="A3" s="50" t="s">
        <v>98</v>
      </c>
      <c r="B3" s="50" t="s">
        <v>99</v>
      </c>
      <c r="C3" s="50" t="s">
        <v>100</v>
      </c>
      <c r="D3" s="50" t="s">
        <v>101</v>
      </c>
      <c r="E3" s="50" t="s">
        <v>102</v>
      </c>
      <c r="F3" s="50" t="s">
        <v>103</v>
      </c>
      <c r="G3" s="51" t="s">
        <v>104</v>
      </c>
      <c r="H3" s="50" t="s">
        <v>105</v>
      </c>
      <c r="I3" s="50" t="s">
        <v>106</v>
      </c>
      <c r="J3" s="50"/>
      <c r="K3" s="52"/>
      <c r="L3" s="52"/>
      <c r="M3" s="52"/>
    </row>
    <row r="4">
      <c r="A4" s="50"/>
      <c r="D4" s="53"/>
      <c r="E4" s="53"/>
      <c r="G4" s="53"/>
      <c r="H4" s="53"/>
    </row>
  </sheetData>
  <dataValidations>
    <dataValidation type="list" allowBlank="1" showErrorMessage="1" sqref="G3:G4">
      <formula1>'_options_list'!$C$7:$Q$7</formula1>
    </dataValidation>
    <dataValidation type="list" allowBlank="1" showErrorMessage="1" sqref="A1:M1">
      <formula1>'_options_list'!$C$11:$J$11</formula1>
    </dataValidation>
    <dataValidation type="list" allowBlank="1" showErrorMessage="1" sqref="H3:H4">
      <formula1>'_options_list'!$C$8:$Q$8</formula1>
    </dataValidation>
    <dataValidation type="list" allowBlank="1" showErrorMessage="1" sqref="D3:D4">
      <formula1>'_options_list'!$C$5:$Q$5</formula1>
    </dataValidation>
    <dataValidation type="list" allowBlank="1" showErrorMessage="1" sqref="E3:E4">
      <formula1>'_options_list'!$C$6:$Q$6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2.25"/>
    <col customWidth="1" min="2" max="2" width="13.38"/>
    <col customWidth="1" min="3" max="3" width="12.5"/>
    <col customWidth="1" min="4" max="4" width="9.25"/>
    <col customWidth="1" min="5" max="5" width="14.13"/>
    <col customWidth="1" min="6" max="6" width="14.25"/>
    <col customWidth="1" min="7" max="7" width="15.13"/>
    <col customWidth="1" min="8" max="8" width="16.63"/>
    <col customWidth="1" min="9" max="9" width="13.63"/>
    <col customWidth="1" min="10" max="10" width="18.25"/>
    <col customWidth="1" min="11" max="11" width="8.5"/>
    <col customWidth="1" min="12" max="12" width="12.88"/>
    <col customWidth="1" min="13" max="13" width="9.0"/>
    <col customWidth="1" min="14" max="14" width="9.38"/>
  </cols>
  <sheetData>
    <row r="1" outlineLevel="1">
      <c r="A1" s="46" t="s">
        <v>84</v>
      </c>
      <c r="B1" s="46" t="s">
        <v>107</v>
      </c>
      <c r="C1" s="46" t="s">
        <v>85</v>
      </c>
      <c r="D1" s="46" t="s">
        <v>85</v>
      </c>
      <c r="E1" s="46" t="s">
        <v>86</v>
      </c>
      <c r="F1" s="46" t="s">
        <v>86</v>
      </c>
      <c r="G1" s="46" t="s">
        <v>86</v>
      </c>
      <c r="H1" s="46" t="s">
        <v>86</v>
      </c>
      <c r="I1" s="46" t="s">
        <v>86</v>
      </c>
      <c r="J1" s="46" t="s">
        <v>86</v>
      </c>
      <c r="K1" s="46" t="s">
        <v>85</v>
      </c>
      <c r="L1" s="46" t="s">
        <v>86</v>
      </c>
      <c r="M1" s="46" t="s">
        <v>88</v>
      </c>
      <c r="N1" s="46" t="s">
        <v>88</v>
      </c>
    </row>
    <row r="2">
      <c r="A2" s="54" t="s">
        <v>108</v>
      </c>
      <c r="B2" s="48" t="str">
        <f>'1_company'!A$2</f>
        <v>id_company</v>
      </c>
      <c r="C2" s="47" t="s">
        <v>109</v>
      </c>
      <c r="D2" s="55" t="s">
        <v>110</v>
      </c>
      <c r="E2" s="47" t="s">
        <v>111</v>
      </c>
      <c r="F2" s="55" t="s">
        <v>112</v>
      </c>
      <c r="G2" s="47" t="s">
        <v>113</v>
      </c>
      <c r="H2" s="47" t="s">
        <v>114</v>
      </c>
      <c r="I2" s="47" t="s">
        <v>115</v>
      </c>
      <c r="J2" s="55" t="s">
        <v>116</v>
      </c>
      <c r="K2" s="47" t="s">
        <v>95</v>
      </c>
      <c r="L2" s="47" t="s">
        <v>117</v>
      </c>
      <c r="M2" s="47" t="s">
        <v>96</v>
      </c>
      <c r="N2" s="47" t="s">
        <v>97</v>
      </c>
    </row>
    <row r="3">
      <c r="A3" s="56" t="s">
        <v>118</v>
      </c>
      <c r="B3" s="57" t="s">
        <v>98</v>
      </c>
      <c r="C3" s="58" t="s">
        <v>119</v>
      </c>
      <c r="D3" s="59"/>
      <c r="E3" s="58" t="b">
        <v>1</v>
      </c>
      <c r="F3" s="58" t="b">
        <v>1</v>
      </c>
      <c r="G3" s="60">
        <v>1.0</v>
      </c>
      <c r="H3" s="60">
        <v>2.0</v>
      </c>
      <c r="I3" s="60">
        <v>3.0</v>
      </c>
      <c r="J3" s="61">
        <v>2.0</v>
      </c>
      <c r="L3" s="58" t="s">
        <v>120</v>
      </c>
      <c r="M3" s="52"/>
      <c r="N3" s="52"/>
    </row>
    <row r="4">
      <c r="A4" s="57"/>
      <c r="B4" s="57"/>
      <c r="C4" s="58"/>
      <c r="D4" s="59"/>
      <c r="E4" s="53"/>
      <c r="F4" s="53"/>
      <c r="G4" s="60"/>
      <c r="H4" s="60"/>
      <c r="I4" s="60"/>
      <c r="J4" s="61"/>
      <c r="L4" s="53"/>
    </row>
  </sheetData>
  <dataValidations>
    <dataValidation type="list" allowBlank="1" showErrorMessage="1" sqref="E3:F4">
      <formula1>'_options_list'!$C$10:$F$10</formula1>
    </dataValidation>
    <dataValidation type="list" allowBlank="1" showErrorMessage="1" sqref="A1:N1">
      <formula1>'_options_list'!$C$11:$J$11</formula1>
    </dataValidation>
    <dataValidation type="list" allowBlank="1" showErrorMessage="1" sqref="L3:L4">
      <formula1>'_options_list'!$C$12:$K$12</formula1>
    </dataValidation>
    <dataValidation type="list" allowBlank="1" showErrorMessage="1" sqref="G3:J4">
      <formula1>"1,2,3"</formula1>
    </dataValidation>
    <dataValidation type="list" allowBlank="1" showErrorMessage="1" sqref="B3:B4">
      <formula1>'1_company'!$A$3:$A$4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5.63"/>
    <col customWidth="1" min="2" max="2" width="13.38"/>
    <col customWidth="1" min="3" max="3" width="21.0"/>
    <col customWidth="1" min="4" max="4" width="20.75"/>
    <col customWidth="1" min="5" max="5" width="10.63"/>
    <col customWidth="1" min="6" max="6" width="9.0"/>
    <col customWidth="1" min="7" max="7" width="9.38"/>
  </cols>
  <sheetData>
    <row r="1" outlineLevel="1">
      <c r="A1" s="46" t="s">
        <v>84</v>
      </c>
      <c r="B1" s="46" t="s">
        <v>107</v>
      </c>
      <c r="C1" s="46" t="s">
        <v>86</v>
      </c>
      <c r="D1" s="46" t="s">
        <v>85</v>
      </c>
      <c r="E1" s="46" t="s">
        <v>86</v>
      </c>
      <c r="F1" s="46" t="s">
        <v>88</v>
      </c>
      <c r="G1" s="46" t="s">
        <v>88</v>
      </c>
    </row>
    <row r="2">
      <c r="A2" s="54" t="s">
        <v>121</v>
      </c>
      <c r="B2" s="62" t="str">
        <f>'2_mission'!A$2</f>
        <v>id_mission</v>
      </c>
      <c r="C2" s="47" t="s">
        <v>122</v>
      </c>
      <c r="D2" s="47" t="s">
        <v>95</v>
      </c>
      <c r="E2" s="47" t="s">
        <v>117</v>
      </c>
      <c r="F2" s="47" t="s">
        <v>96</v>
      </c>
      <c r="G2" s="47" t="s">
        <v>97</v>
      </c>
    </row>
    <row r="3">
      <c r="A3" s="56" t="s">
        <v>123</v>
      </c>
      <c r="B3" s="63" t="s">
        <v>118</v>
      </c>
      <c r="C3" s="64" t="s">
        <v>124</v>
      </c>
      <c r="E3" s="53"/>
      <c r="F3" s="52"/>
      <c r="G3" s="52"/>
    </row>
    <row r="4">
      <c r="A4" s="56" t="s">
        <v>125</v>
      </c>
      <c r="B4" s="63" t="s">
        <v>118</v>
      </c>
      <c r="C4" s="58" t="s">
        <v>126</v>
      </c>
      <c r="E4" s="53"/>
    </row>
  </sheetData>
  <dataValidations>
    <dataValidation type="list" allowBlank="1" showErrorMessage="1" sqref="A1:G1">
      <formula1>'_options_list'!$C$11:$J$11</formula1>
    </dataValidation>
    <dataValidation type="list" allowBlank="1" showErrorMessage="1" sqref="E3:E4">
      <formula1>'_options_list'!$C$12:$K$12</formula1>
    </dataValidation>
    <dataValidation type="list" allowBlank="1" showErrorMessage="1" sqref="B3:B4">
      <formula1>'2_mission'!$A$3</formula1>
    </dataValidation>
    <dataValidation type="list" allowBlank="1" showErrorMessage="1" sqref="C3:C4">
      <formula1>'🚧 _lib_process'!$B$3:$B$393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3.5"/>
    <col customWidth="1" min="2" max="2" width="12.5"/>
    <col customWidth="1" min="3" max="3" width="16.5"/>
    <col customWidth="1" min="4" max="4" width="21.38"/>
    <col customWidth="1" min="5" max="5" width="14.5"/>
    <col customWidth="1" min="6" max="6" width="11.38"/>
    <col customWidth="1" min="7" max="7" width="11.5"/>
    <col customWidth="1" min="8" max="8" width="14.5"/>
    <col customWidth="1" min="9" max="9" width="15.13"/>
    <col customWidth="1" min="10" max="10" width="16.63"/>
    <col customWidth="1" min="11" max="11" width="15.13"/>
    <col customWidth="1" min="12" max="13" width="17.88"/>
    <col customWidth="1" min="14" max="14" width="9.0"/>
    <col customWidth="1" min="15" max="15" width="9.38"/>
  </cols>
  <sheetData>
    <row r="1" outlineLevel="1">
      <c r="A1" s="46" t="s">
        <v>84</v>
      </c>
      <c r="B1" s="46" t="s">
        <v>107</v>
      </c>
      <c r="C1" s="46" t="s">
        <v>107</v>
      </c>
      <c r="D1" s="46" t="s">
        <v>85</v>
      </c>
      <c r="E1" s="46" t="s">
        <v>85</v>
      </c>
      <c r="F1" s="46" t="s">
        <v>86</v>
      </c>
      <c r="G1" s="46" t="s">
        <v>86</v>
      </c>
      <c r="H1" s="46" t="s">
        <v>86</v>
      </c>
      <c r="I1" s="46" t="s">
        <v>86</v>
      </c>
      <c r="J1" s="65" t="s">
        <v>86</v>
      </c>
      <c r="K1" s="65" t="s">
        <v>85</v>
      </c>
      <c r="L1" s="46" t="s">
        <v>85</v>
      </c>
      <c r="M1" s="46" t="s">
        <v>86</v>
      </c>
      <c r="N1" s="46" t="s">
        <v>88</v>
      </c>
      <c r="O1" s="46" t="s">
        <v>88</v>
      </c>
    </row>
    <row r="2">
      <c r="A2" s="66" t="s">
        <v>127</v>
      </c>
      <c r="B2" s="62" t="str">
        <f>'2_mission'!A$2</f>
        <v>id_mission</v>
      </c>
      <c r="C2" s="62" t="str">
        <f>'🚧 _lib_strategy'!D$2</f>
        <v>#REF!</v>
      </c>
      <c r="D2" s="62" t="str">
        <f t="shared" ref="D2:D14" si="1">'🚧 _lib_strategy'!B2</f>
        <v>#REF!</v>
      </c>
      <c r="E2" s="62" t="str">
        <f t="shared" ref="E2:E14" si="2">'🚧 _lib_strategy'!E2</f>
        <v>#REF!</v>
      </c>
      <c r="F2" s="66" t="s">
        <v>128</v>
      </c>
      <c r="G2" s="66" t="s">
        <v>129</v>
      </c>
      <c r="H2" s="62" t="str">
        <f t="shared" ref="H2:H14" si="3">'🚧 _lib_strategy'!F2</f>
        <v>#REF!</v>
      </c>
      <c r="I2" s="66" t="s">
        <v>130</v>
      </c>
      <c r="J2" s="67" t="s">
        <v>131</v>
      </c>
      <c r="K2" s="67" t="s">
        <v>132</v>
      </c>
      <c r="L2" s="66" t="s">
        <v>133</v>
      </c>
      <c r="M2" s="66" t="s">
        <v>134</v>
      </c>
      <c r="N2" s="47" t="s">
        <v>96</v>
      </c>
      <c r="O2" s="47" t="s">
        <v>97</v>
      </c>
    </row>
    <row r="3">
      <c r="A3" s="68" t="s">
        <v>135</v>
      </c>
      <c r="B3" s="63" t="s">
        <v>118</v>
      </c>
      <c r="C3" s="68" t="str">
        <f t="shared" ref="C3:C14" si="4">'🚧 _lib_strategy'!D3</f>
        <v>#REF!</v>
      </c>
      <c r="D3" s="69" t="str">
        <f t="shared" si="1"/>
        <v>#REF!</v>
      </c>
      <c r="E3" s="70" t="str">
        <f t="shared" si="2"/>
        <v>#REF!</v>
      </c>
      <c r="F3" s="68" t="b">
        <v>0</v>
      </c>
      <c r="G3" s="68" t="b">
        <v>0</v>
      </c>
      <c r="H3" s="71" t="str">
        <f t="shared" si="3"/>
        <v>#REF!</v>
      </c>
      <c r="I3" s="72">
        <v>3.0</v>
      </c>
      <c r="J3" s="73"/>
      <c r="K3" s="73"/>
      <c r="L3" s="74"/>
      <c r="M3" s="75" t="b">
        <v>1</v>
      </c>
      <c r="N3" s="52"/>
      <c r="O3" s="52"/>
    </row>
    <row r="4">
      <c r="A4" s="68" t="s">
        <v>136</v>
      </c>
      <c r="B4" s="63" t="s">
        <v>118</v>
      </c>
      <c r="C4" s="68" t="str">
        <f t="shared" si="4"/>
        <v>#REF!</v>
      </c>
      <c r="D4" s="70" t="str">
        <f t="shared" si="1"/>
        <v>#REF!</v>
      </c>
      <c r="E4" s="70" t="str">
        <f t="shared" si="2"/>
        <v>#REF!</v>
      </c>
      <c r="F4" s="68" t="b">
        <v>0</v>
      </c>
      <c r="G4" s="68" t="b">
        <v>0</v>
      </c>
      <c r="H4" s="71" t="str">
        <f t="shared" si="3"/>
        <v>#REF!</v>
      </c>
      <c r="I4" s="72" t="s">
        <v>137</v>
      </c>
      <c r="J4" s="73"/>
      <c r="K4" s="73"/>
      <c r="L4" s="74"/>
      <c r="M4" s="75" t="b">
        <v>0</v>
      </c>
    </row>
    <row r="5">
      <c r="A5" s="68" t="s">
        <v>138</v>
      </c>
      <c r="B5" s="63" t="s">
        <v>118</v>
      </c>
      <c r="C5" s="68" t="str">
        <f t="shared" si="4"/>
        <v>#REF!</v>
      </c>
      <c r="D5" s="70" t="str">
        <f t="shared" si="1"/>
        <v>#REF!</v>
      </c>
      <c r="E5" s="70" t="str">
        <f t="shared" si="2"/>
        <v>#REF!</v>
      </c>
      <c r="F5" s="68" t="b">
        <v>0</v>
      </c>
      <c r="G5" s="68" t="b">
        <v>0</v>
      </c>
      <c r="H5" s="71" t="str">
        <f t="shared" si="3"/>
        <v>#REF!</v>
      </c>
      <c r="I5" s="76"/>
      <c r="J5" s="77"/>
      <c r="K5" s="77"/>
      <c r="L5" s="74"/>
      <c r="M5" s="75" t="b">
        <v>0</v>
      </c>
      <c r="N5" s="74"/>
      <c r="O5" s="74"/>
    </row>
    <row r="6">
      <c r="A6" s="68" t="s">
        <v>139</v>
      </c>
      <c r="B6" s="63" t="s">
        <v>118</v>
      </c>
      <c r="C6" s="68" t="str">
        <f t="shared" si="4"/>
        <v>#REF!</v>
      </c>
      <c r="D6" s="70" t="str">
        <f t="shared" si="1"/>
        <v>#REF!</v>
      </c>
      <c r="E6" s="70" t="str">
        <f t="shared" si="2"/>
        <v>#REF!</v>
      </c>
      <c r="F6" s="68" t="b">
        <v>0</v>
      </c>
      <c r="G6" s="68" t="b">
        <v>0</v>
      </c>
      <c r="H6" s="71" t="str">
        <f t="shared" si="3"/>
        <v>#REF!</v>
      </c>
      <c r="I6" s="72">
        <v>2.0</v>
      </c>
      <c r="J6" s="73"/>
      <c r="K6" s="73"/>
      <c r="L6" s="74"/>
      <c r="M6" s="75" t="b">
        <v>1</v>
      </c>
      <c r="N6" s="74"/>
      <c r="O6" s="74"/>
    </row>
    <row r="7">
      <c r="A7" s="68" t="s">
        <v>140</v>
      </c>
      <c r="B7" s="63" t="s">
        <v>118</v>
      </c>
      <c r="C7" s="68" t="str">
        <f t="shared" si="4"/>
        <v>#REF!</v>
      </c>
      <c r="D7" s="70" t="str">
        <f t="shared" si="1"/>
        <v>#REF!</v>
      </c>
      <c r="E7" s="70" t="str">
        <f t="shared" si="2"/>
        <v>#REF!</v>
      </c>
      <c r="F7" s="68" t="b">
        <v>0</v>
      </c>
      <c r="G7" s="68" t="b">
        <v>0</v>
      </c>
      <c r="H7" s="71" t="str">
        <f t="shared" si="3"/>
        <v>#REF!</v>
      </c>
      <c r="I7" s="76"/>
      <c r="J7" s="77"/>
      <c r="K7" s="77"/>
      <c r="L7" s="74"/>
      <c r="M7" s="75" t="b">
        <v>0</v>
      </c>
      <c r="N7" s="74"/>
      <c r="O7" s="74"/>
    </row>
    <row r="8">
      <c r="A8" s="68" t="s">
        <v>141</v>
      </c>
      <c r="B8" s="63" t="s">
        <v>118</v>
      </c>
      <c r="C8" s="68" t="str">
        <f t="shared" si="4"/>
        <v>#REF!</v>
      </c>
      <c r="D8" s="70" t="str">
        <f t="shared" si="1"/>
        <v>#REF!</v>
      </c>
      <c r="E8" s="70" t="str">
        <f t="shared" si="2"/>
        <v>#REF!</v>
      </c>
      <c r="F8" s="68" t="b">
        <v>0</v>
      </c>
      <c r="G8" s="68" t="b">
        <v>0</v>
      </c>
      <c r="H8" s="71" t="str">
        <f t="shared" si="3"/>
        <v>#REF!</v>
      </c>
      <c r="I8" s="78"/>
      <c r="J8" s="79"/>
      <c r="K8" s="79"/>
      <c r="L8" s="80"/>
      <c r="M8" s="75" t="b">
        <v>0</v>
      </c>
      <c r="N8" s="74"/>
      <c r="O8" s="74"/>
    </row>
    <row r="9">
      <c r="A9" s="68" t="s">
        <v>142</v>
      </c>
      <c r="B9" s="63" t="s">
        <v>118</v>
      </c>
      <c r="C9" s="68" t="str">
        <f t="shared" si="4"/>
        <v>#REF!</v>
      </c>
      <c r="D9" s="69" t="str">
        <f t="shared" si="1"/>
        <v>#REF!</v>
      </c>
      <c r="E9" s="70" t="str">
        <f t="shared" si="2"/>
        <v>#REF!</v>
      </c>
      <c r="F9" s="68" t="b">
        <v>0</v>
      </c>
      <c r="G9" s="68" t="b">
        <v>0</v>
      </c>
      <c r="H9" s="71" t="str">
        <f t="shared" si="3"/>
        <v>#REF!</v>
      </c>
      <c r="I9" s="72" t="s">
        <v>137</v>
      </c>
      <c r="J9" s="73"/>
      <c r="K9" s="73"/>
      <c r="L9" s="74"/>
      <c r="M9" s="75" t="b">
        <v>0</v>
      </c>
      <c r="N9" s="74"/>
      <c r="O9" s="74"/>
    </row>
    <row r="10">
      <c r="A10" s="68" t="s">
        <v>143</v>
      </c>
      <c r="B10" s="63" t="s">
        <v>118</v>
      </c>
      <c r="C10" s="68" t="str">
        <f t="shared" si="4"/>
        <v>#REF!</v>
      </c>
      <c r="D10" s="70" t="str">
        <f t="shared" si="1"/>
        <v>#REF!</v>
      </c>
      <c r="E10" s="70" t="str">
        <f t="shared" si="2"/>
        <v>#REF!</v>
      </c>
      <c r="F10" s="68" t="b">
        <v>0</v>
      </c>
      <c r="G10" s="68" t="b">
        <v>0</v>
      </c>
      <c r="H10" s="71" t="str">
        <f t="shared" si="3"/>
        <v>#REF!</v>
      </c>
      <c r="I10" s="72" t="s">
        <v>137</v>
      </c>
      <c r="J10" s="73"/>
      <c r="K10" s="73"/>
      <c r="L10" s="74"/>
      <c r="M10" s="75" t="b">
        <v>0</v>
      </c>
      <c r="N10" s="74"/>
      <c r="O10" s="74"/>
    </row>
    <row r="11">
      <c r="A11" s="68" t="s">
        <v>144</v>
      </c>
      <c r="B11" s="63" t="s">
        <v>118</v>
      </c>
      <c r="C11" s="68" t="str">
        <f t="shared" si="4"/>
        <v>#REF!</v>
      </c>
      <c r="D11" s="70" t="str">
        <f t="shared" si="1"/>
        <v>#REF!</v>
      </c>
      <c r="E11" s="70" t="str">
        <f t="shared" si="2"/>
        <v>#REF!</v>
      </c>
      <c r="F11" s="68" t="b">
        <v>0</v>
      </c>
      <c r="G11" s="68" t="b">
        <v>0</v>
      </c>
      <c r="H11" s="71" t="str">
        <f t="shared" si="3"/>
        <v>#REF!</v>
      </c>
      <c r="I11" s="72" t="s">
        <v>137</v>
      </c>
      <c r="J11" s="73"/>
      <c r="K11" s="73"/>
      <c r="L11" s="74"/>
      <c r="M11" s="75" t="b">
        <v>0</v>
      </c>
      <c r="N11" s="74"/>
      <c r="O11" s="74"/>
    </row>
    <row r="12">
      <c r="A12" s="68" t="s">
        <v>145</v>
      </c>
      <c r="B12" s="63" t="s">
        <v>118</v>
      </c>
      <c r="C12" s="68" t="str">
        <f t="shared" si="4"/>
        <v>#REF!</v>
      </c>
      <c r="D12" s="70" t="str">
        <f t="shared" si="1"/>
        <v>#REF!</v>
      </c>
      <c r="E12" s="70" t="str">
        <f t="shared" si="2"/>
        <v>#REF!</v>
      </c>
      <c r="F12" s="68" t="b">
        <v>0</v>
      </c>
      <c r="G12" s="68" t="b">
        <v>0</v>
      </c>
      <c r="H12" s="71" t="str">
        <f t="shared" si="3"/>
        <v>#REF!</v>
      </c>
      <c r="I12" s="81" t="s">
        <v>137</v>
      </c>
      <c r="J12" s="82"/>
      <c r="K12" s="82"/>
      <c r="L12" s="80"/>
      <c r="M12" s="75" t="b">
        <v>0</v>
      </c>
      <c r="N12" s="74"/>
      <c r="O12" s="74"/>
    </row>
    <row r="13">
      <c r="A13" s="68" t="s">
        <v>146</v>
      </c>
      <c r="B13" s="63" t="s">
        <v>118</v>
      </c>
      <c r="C13" s="68" t="str">
        <f t="shared" si="4"/>
        <v>#REF!</v>
      </c>
      <c r="D13" s="69" t="str">
        <f t="shared" si="1"/>
        <v>#REF!</v>
      </c>
      <c r="E13" s="70" t="str">
        <f t="shared" si="2"/>
        <v>#REF!</v>
      </c>
      <c r="F13" s="68" t="b">
        <v>0</v>
      </c>
      <c r="G13" s="68" t="b">
        <v>0</v>
      </c>
      <c r="H13" s="71" t="str">
        <f t="shared" si="3"/>
        <v>#REF!</v>
      </c>
      <c r="I13" s="72" t="s">
        <v>137</v>
      </c>
      <c r="J13" s="73"/>
      <c r="K13" s="73"/>
      <c r="L13" s="74"/>
      <c r="M13" s="75" t="b">
        <v>0</v>
      </c>
      <c r="N13" s="74"/>
      <c r="O13" s="74"/>
    </row>
    <row r="14">
      <c r="A14" s="68" t="s">
        <v>147</v>
      </c>
      <c r="B14" s="63" t="s">
        <v>118</v>
      </c>
      <c r="C14" s="68" t="str">
        <f t="shared" si="4"/>
        <v>#REF!</v>
      </c>
      <c r="D14" s="70" t="str">
        <f t="shared" si="1"/>
        <v>#REF!</v>
      </c>
      <c r="E14" s="70" t="str">
        <f t="shared" si="2"/>
        <v>#REF!</v>
      </c>
      <c r="F14" s="68" t="b">
        <v>0</v>
      </c>
      <c r="G14" s="68" t="b">
        <v>0</v>
      </c>
      <c r="H14" s="71" t="str">
        <f t="shared" si="3"/>
        <v>#REF!</v>
      </c>
      <c r="I14" s="72" t="s">
        <v>137</v>
      </c>
      <c r="J14" s="73"/>
      <c r="K14" s="73"/>
      <c r="L14" s="74"/>
      <c r="M14" s="75" t="b">
        <v>0</v>
      </c>
      <c r="N14" s="74"/>
      <c r="O14" s="74"/>
    </row>
  </sheetData>
  <dataValidations>
    <dataValidation type="list" allowBlank="1" showErrorMessage="1" sqref="F3:G14 M3:M14">
      <formula1>'_options_list'!$C$10:$F$10</formula1>
    </dataValidation>
    <dataValidation type="list" allowBlank="1" showErrorMessage="1" sqref="I3:J14">
      <formula1>"#NA,3,2,1,0,-1,-2,-3"</formula1>
    </dataValidation>
    <dataValidation type="list" allowBlank="1" showErrorMessage="1" sqref="A1:O1">
      <formula1>'_options_list'!$C$11:$J$11</formula1>
    </dataValidation>
    <dataValidation type="list" allowBlank="1" showErrorMessage="1" sqref="B3:B14">
      <formula1>'2_mission'!$A$3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2" width="12.88"/>
    <col customWidth="1" min="3" max="3" width="10.88"/>
    <col customWidth="1" min="4" max="4" width="16.88"/>
    <col customWidth="1" min="5" max="5" width="14.63"/>
    <col customWidth="1" min="6" max="6" width="17.63"/>
    <col customWidth="1" min="7" max="7" width="12.13"/>
    <col customWidth="1" min="8" max="8" width="11.38"/>
    <col customWidth="1" min="9" max="9" width="10.63"/>
    <col customWidth="1" min="10" max="10" width="11.5" outlineLevel="1"/>
    <col customWidth="1" min="11" max="11" width="16.13" outlineLevel="1"/>
    <col customWidth="1" min="12" max="12" width="12.5" outlineLevel="1"/>
    <col customWidth="1" min="13" max="13" width="18.63" outlineLevel="1"/>
    <col customWidth="1" min="14" max="14" width="9.75" outlineLevel="1"/>
    <col customWidth="1" min="15" max="15" width="8.63" outlineLevel="1"/>
    <col collapsed="1" customWidth="1" min="16" max="16" width="10.63"/>
    <col customWidth="1" hidden="1" min="17" max="29" width="10.63" outlineLevel="1"/>
    <col customWidth="1" min="30" max="30" width="14.0"/>
    <col customWidth="1" min="31" max="31" width="18.0"/>
    <col customWidth="1" min="32" max="32" width="14.75"/>
    <col customWidth="1" min="33" max="36" width="10.75"/>
    <col customWidth="1" min="37" max="37" width="13.5"/>
    <col customWidth="1" min="38" max="38" width="17.88"/>
    <col customWidth="1" min="39" max="39" width="9.0"/>
    <col customWidth="1" min="40" max="40" width="9.38"/>
  </cols>
  <sheetData>
    <row r="1">
      <c r="A1" s="83" t="s">
        <v>84</v>
      </c>
      <c r="B1" s="83" t="s">
        <v>148</v>
      </c>
      <c r="C1" s="83" t="s">
        <v>148</v>
      </c>
      <c r="D1" s="83" t="s">
        <v>107</v>
      </c>
      <c r="E1" s="83" t="s">
        <v>107</v>
      </c>
      <c r="F1" s="83" t="s">
        <v>85</v>
      </c>
      <c r="G1" s="83" t="s">
        <v>107</v>
      </c>
      <c r="H1" s="83" t="s">
        <v>86</v>
      </c>
      <c r="I1" s="83" t="s">
        <v>86</v>
      </c>
      <c r="J1" s="83" t="s">
        <v>85</v>
      </c>
      <c r="K1" s="83" t="s">
        <v>86</v>
      </c>
      <c r="L1" s="83" t="s">
        <v>85</v>
      </c>
      <c r="M1" s="83" t="s">
        <v>85</v>
      </c>
      <c r="N1" s="83" t="s">
        <v>86</v>
      </c>
      <c r="O1" s="83" t="s">
        <v>85</v>
      </c>
      <c r="P1" s="84" t="str">
        <f>VLOOKUP(P$2,'_scoring_criteria'!$B$3:$D$16,3,false)</f>
        <v>(value) FTE intensive</v>
      </c>
      <c r="Q1" s="84" t="str">
        <f>VLOOKUP(Q$2,'_scoring_criteria'!$B$3:$D$16,3,false)</f>
        <v>(value) Recurring</v>
      </c>
      <c r="R1" s="84" t="str">
        <f>VLOOKUP(R$2,'_scoring_criteria'!$B$3:$D$16,3,false)</f>
        <v>(value) Misquality</v>
      </c>
      <c r="S1" s="84" t="str">
        <f>VLOOKUP(S$2,'_scoring_criteria'!$B$3:$D$16,3,false)</f>
        <v>(feasib) Data collection</v>
      </c>
      <c r="T1" s="84" t="str">
        <f>VLOOKUP(T$2,'_scoring_criteria'!$B$3:$D$16,3,false)</f>
        <v>(feasib) Analysis &amp; Writing</v>
      </c>
      <c r="U1" s="84" t="str">
        <f>VLOOKUP(U$2,'_scoring_criteria'!$B$3:$D$16,3,false)</f>
        <v>(feasib) Multimedia</v>
      </c>
      <c r="V1" s="84" t="str">
        <f>VLOOKUP(V$2,'_scoring_criteria'!$B$3:$D$16,3,false)</f>
        <v>(feasib) Interaction</v>
      </c>
      <c r="W1" s="84" t="str">
        <f>VLOOKUP(W$2,'_scoring_criteria'!$B$3:$D$16,3,false)</f>
        <v>(feasib) Human_specific</v>
      </c>
      <c r="X1" s="84" t="str">
        <f>VLOOKUP(X$2,'_scoring_criteria'!$B$3:$D$16,3,false)</f>
        <v>(feasib) Business_specific</v>
      </c>
      <c r="Y1" s="84" t="str">
        <f>VLOOKUP(Y$2,'_scoring_criteria'!$B$3:$D$16,3,false)</f>
        <v>(feasib) Automated</v>
      </c>
      <c r="Z1" s="84" t="str">
        <f>VLOOKUP(Z$2,'_scoring_criteria'!$B$3:$D$16,3,false)</f>
        <v>(feasib) Deterministic</v>
      </c>
      <c r="AA1" s="84" t="str">
        <f>VLOOKUP(AA$2,'_scoring_criteria'!$B$3:$D$16,3,false)</f>
        <v>(feasib) Documented</v>
      </c>
      <c r="AB1" s="84" t="str">
        <f>VLOOKUP(AB$2,'_scoring_criteria'!$B$3:$D$16,3,false)</f>
        <v>(feasib) Structured data</v>
      </c>
      <c r="AC1" s="84" t="str">
        <f>VLOOKUP(AC$2,'_scoring_criteria'!$B$3:$D$16,3,false)</f>
        <v>(feasib) Fresh data</v>
      </c>
      <c r="AD1" s="83" t="s">
        <v>148</v>
      </c>
      <c r="AE1" s="83" t="s">
        <v>148</v>
      </c>
      <c r="AF1" s="83" t="s">
        <v>148</v>
      </c>
      <c r="AG1" s="83" t="s">
        <v>87</v>
      </c>
      <c r="AH1" s="83" t="s">
        <v>87</v>
      </c>
      <c r="AI1" s="83" t="s">
        <v>87</v>
      </c>
      <c r="AJ1" s="83" t="s">
        <v>87</v>
      </c>
      <c r="AK1" s="83" t="s">
        <v>87</v>
      </c>
      <c r="AL1" s="46" t="s">
        <v>86</v>
      </c>
      <c r="AM1" s="83" t="s">
        <v>88</v>
      </c>
      <c r="AN1" s="83" t="s">
        <v>88</v>
      </c>
    </row>
    <row r="2">
      <c r="A2" s="85" t="str">
        <f>IFERROR(__xludf.DUMMYFUNCTION("{""id_diag_process"";ARRAYFORMULA(D3:D18&amp;""_dpt_""&amp;TEXT(FILTER(ROW(D2:D18)-1,D2:D18&lt;&gt;""""),""000""))}"),"id_diag_process")</f>
        <v>id_diag_process</v>
      </c>
      <c r="B2" s="86" t="str">
        <f>'_lib_questions'!B2</f>
        <v>id_question_lib</v>
      </c>
      <c r="C2" s="86" t="str">
        <f>'_lib_questions'!J2</f>
        <v>question_lib</v>
      </c>
      <c r="D2" s="85" t="str">
        <f>'2_mission_function'!A2</f>
        <v>id_mission_function</v>
      </c>
      <c r="E2" s="86" t="str">
        <f>'_lib_questions'!D2</f>
        <v>id_category_L1_lib</v>
      </c>
      <c r="F2" s="85" t="s">
        <v>149</v>
      </c>
      <c r="G2" s="85" t="str">
        <f>'🚧 _lib_process'!B2</f>
        <v>#REF!</v>
      </c>
      <c r="H2" s="87" t="s">
        <v>128</v>
      </c>
      <c r="I2" s="87" t="s">
        <v>129</v>
      </c>
      <c r="J2" s="88" t="s">
        <v>150</v>
      </c>
      <c r="K2" s="88" t="s">
        <v>151</v>
      </c>
      <c r="L2" s="88" t="s">
        <v>152</v>
      </c>
      <c r="M2" s="88" t="s">
        <v>153</v>
      </c>
      <c r="N2" s="88" t="s">
        <v>154</v>
      </c>
      <c r="O2" s="89" t="s">
        <v>95</v>
      </c>
      <c r="P2" s="85" t="str">
        <f t="array" ref="P2:AC2">transpose(unique('_scoring_criteria'!B$3:B18))</f>
        <v>crit_01</v>
      </c>
      <c r="Q2" s="85" t="s">
        <v>155</v>
      </c>
      <c r="R2" s="85" t="s">
        <v>156</v>
      </c>
      <c r="S2" s="85" t="s">
        <v>157</v>
      </c>
      <c r="T2" s="85" t="s">
        <v>158</v>
      </c>
      <c r="U2" s="85" t="s">
        <v>159</v>
      </c>
      <c r="V2" s="85" t="s">
        <v>160</v>
      </c>
      <c r="W2" s="85" t="s">
        <v>161</v>
      </c>
      <c r="X2" s="85" t="s">
        <v>162</v>
      </c>
      <c r="Y2" s="85" t="s">
        <v>163</v>
      </c>
      <c r="Z2" s="85" t="s">
        <v>164</v>
      </c>
      <c r="AA2" s="85" t="s">
        <v>165</v>
      </c>
      <c r="AB2" s="85" t="s">
        <v>166</v>
      </c>
      <c r="AC2" s="90" t="s">
        <v>167</v>
      </c>
      <c r="AD2" s="85" t="str">
        <f t="array" ref="AD2:AD18">{"asst_VALUE";
IF(P3:P18="",
"",
IFERROR(
BYROW(P3:R18,
LAMBDA(r,
SUMPRODUCT(
IF(ISNUMBER(r),r,0),
XLOOKUP(P$2:R$2,#REF!,#REF!),
XLOOKUP(P$2:R$2,#REF!,#REF!)
)
/
SUMPRODUCT(
--ISNUMBER(r),
ABS(
XLOOKUP(P$2:R$2,#REF!,#REF!)*
XLOOKUP(P$2:R$2,#REF!,#REF!)
)
)
)),
""
)
)}</f>
        <v>asst_VALUE</v>
      </c>
      <c r="AE2" s="85" t="str">
        <f t="array" ref="AE2:AE18">{"asst_FEASIBILITY";
IF(S3:S18="",
"",
IFERROR(
BYROW(S3:AC18,
LAMBDA(r,
SUMPRODUCT(
IF(ISNUMBER(r),r,0),
XLOOKUP(S$2:AC$2,#REF!,#REF!),
XLOOKUP(S$2:AC$2,#REF!,#REF!)
)
/
SUMPRODUCT(
--ISNUMBER(r),
ABS(
XLOOKUP(S$2:AC$2,#REF!,#REF!)*
XLOOKUP(S$2:AC$2,#REF!,#REF!)
)
)
)),
""
)
)}</f>
        <v>asst_FEASIBILITY</v>
      </c>
      <c r="AF2" s="91" t="str">
        <f t="array" ref="AF2:AF18">{"(mAcro_asst) RECO";IF((AD3:AD100="")+(AE3:AE100=""),,"Prio "&amp;RANK((AD3:AD100+AE3:AE100)/2,(AD3:AD100+AE3:AE100)/2,0))}</f>
        <v>(mAcro_asst) RECO</v>
      </c>
      <c r="AG2" s="92" t="s">
        <v>168</v>
      </c>
      <c r="AH2" s="93" t="s">
        <v>169</v>
      </c>
      <c r="AI2" s="93" t="s">
        <v>170</v>
      </c>
      <c r="AJ2" s="93" t="s">
        <v>171</v>
      </c>
      <c r="AK2" s="93" t="s">
        <v>172</v>
      </c>
      <c r="AL2" s="87" t="s">
        <v>134</v>
      </c>
      <c r="AM2" s="88" t="s">
        <v>96</v>
      </c>
      <c r="AN2" s="88" t="s">
        <v>97</v>
      </c>
    </row>
    <row r="3">
      <c r="A3" s="94" t="str">
        <f>IFERROR(__xludf.DUMMYFUNCTION("""COMPUTED_VALUE"""),"mis_001_func_001_dpt_001")</f>
        <v>mis_001_func_001_dpt_001</v>
      </c>
      <c r="B3" s="95"/>
      <c r="C3" s="85"/>
      <c r="D3" s="63" t="s">
        <v>123</v>
      </c>
      <c r="E3" s="96"/>
      <c r="F3" s="97" t="s">
        <v>126</v>
      </c>
      <c r="G3" s="98" t="str">
        <f t="shared" ref="G3:G16" si="1">vlookup(#REF!,#REF!,3,false)</f>
        <v>#REF!</v>
      </c>
      <c r="H3" s="68" t="b">
        <v>0</v>
      </c>
      <c r="I3" s="68" t="b">
        <v>0</v>
      </c>
      <c r="J3" s="99" t="s">
        <v>173</v>
      </c>
      <c r="K3" s="100" t="s">
        <v>174</v>
      </c>
      <c r="L3" s="99" t="s">
        <v>175</v>
      </c>
      <c r="M3" s="60" t="s">
        <v>176</v>
      </c>
      <c r="N3" s="72">
        <v>1.0</v>
      </c>
      <c r="O3" s="101"/>
      <c r="P3" s="72">
        <v>1.0</v>
      </c>
      <c r="Q3" s="72">
        <v>1.0</v>
      </c>
      <c r="R3" s="72">
        <v>1.0</v>
      </c>
      <c r="S3" s="72">
        <v>3.0</v>
      </c>
      <c r="T3" s="72">
        <v>2.0</v>
      </c>
      <c r="U3" s="72">
        <v>2.0</v>
      </c>
      <c r="V3" s="72">
        <v>1.0</v>
      </c>
      <c r="W3" s="72">
        <v>3.0</v>
      </c>
      <c r="X3" s="72">
        <v>2.0</v>
      </c>
      <c r="Y3" s="72">
        <v>3.0</v>
      </c>
      <c r="Z3" s="72">
        <v>1.0</v>
      </c>
      <c r="AA3" s="72">
        <v>1.0</v>
      </c>
      <c r="AB3" s="72">
        <v>3.0</v>
      </c>
      <c r="AC3" s="102">
        <v>2.0</v>
      </c>
      <c r="AD3" s="103" t="s">
        <v>177</v>
      </c>
      <c r="AE3" s="103" t="s">
        <v>177</v>
      </c>
      <c r="AF3" s="104"/>
      <c r="AG3" s="105" t="s">
        <v>178</v>
      </c>
      <c r="AH3" s="106" t="s">
        <v>178</v>
      </c>
      <c r="AI3" s="106" t="s">
        <v>178</v>
      </c>
      <c r="AJ3" s="106" t="s">
        <v>178</v>
      </c>
      <c r="AK3" s="106" t="s">
        <v>178</v>
      </c>
      <c r="AL3" s="75" t="b">
        <v>1</v>
      </c>
      <c r="AM3" s="52"/>
      <c r="AN3" s="52"/>
    </row>
    <row r="4">
      <c r="A4" s="94" t="str">
        <f>IFERROR(__xludf.DUMMYFUNCTION("""COMPUTED_VALUE"""),"mis_001_func_001_dpt_002")</f>
        <v>mis_001_func_001_dpt_002</v>
      </c>
      <c r="B4" s="95"/>
      <c r="C4" s="85"/>
      <c r="D4" s="63" t="s">
        <v>123</v>
      </c>
      <c r="E4" s="96"/>
      <c r="F4" s="97" t="s">
        <v>126</v>
      </c>
      <c r="G4" s="98" t="str">
        <f t="shared" si="1"/>
        <v>#REF!</v>
      </c>
      <c r="H4" s="68" t="b">
        <v>0</v>
      </c>
      <c r="I4" s="68" t="b">
        <v>0</v>
      </c>
      <c r="J4" s="107"/>
      <c r="K4" s="100" t="s">
        <v>179</v>
      </c>
      <c r="L4" s="107"/>
      <c r="M4" s="60" t="s">
        <v>180</v>
      </c>
      <c r="N4" s="108"/>
      <c r="O4" s="101"/>
      <c r="P4" s="72">
        <v>3.0</v>
      </c>
      <c r="Q4" s="72">
        <v>2.0</v>
      </c>
      <c r="R4" s="72">
        <v>3.0</v>
      </c>
      <c r="S4" s="72">
        <v>2.0</v>
      </c>
      <c r="T4" s="72">
        <v>1.0</v>
      </c>
      <c r="U4" s="72">
        <v>3.0</v>
      </c>
      <c r="V4" s="72">
        <v>2.0</v>
      </c>
      <c r="W4" s="72">
        <v>1.0</v>
      </c>
      <c r="X4" s="72">
        <v>3.0</v>
      </c>
      <c r="Y4" s="72">
        <v>3.0</v>
      </c>
      <c r="Z4" s="72">
        <v>2.0</v>
      </c>
      <c r="AA4" s="72">
        <v>3.0</v>
      </c>
      <c r="AB4" s="72">
        <v>1.0</v>
      </c>
      <c r="AC4" s="102">
        <v>2.0</v>
      </c>
      <c r="AD4" s="103" t="s">
        <v>177</v>
      </c>
      <c r="AE4" s="103" t="s">
        <v>177</v>
      </c>
      <c r="AF4" s="104"/>
      <c r="AG4" s="109"/>
      <c r="AH4" s="107"/>
      <c r="AI4" s="107"/>
      <c r="AJ4" s="107"/>
      <c r="AK4" s="107"/>
      <c r="AL4" s="75" t="b">
        <v>1</v>
      </c>
      <c r="AM4" s="108"/>
      <c r="AN4" s="108"/>
    </row>
    <row r="5">
      <c r="A5" s="94" t="str">
        <f>IFERROR(__xludf.DUMMYFUNCTION("""COMPUTED_VALUE"""),"mis_001_func_001_dpt_003")</f>
        <v>mis_001_func_001_dpt_003</v>
      </c>
      <c r="B5" s="95"/>
      <c r="C5" s="85"/>
      <c r="D5" s="63" t="s">
        <v>123</v>
      </c>
      <c r="E5" s="96"/>
      <c r="F5" s="97" t="s">
        <v>126</v>
      </c>
      <c r="G5" s="98" t="str">
        <f t="shared" si="1"/>
        <v>#REF!</v>
      </c>
      <c r="H5" s="68" t="b">
        <v>0</v>
      </c>
      <c r="I5" s="68" t="b">
        <v>0</v>
      </c>
      <c r="J5" s="107"/>
      <c r="K5" s="100"/>
      <c r="L5" s="107"/>
      <c r="M5" s="107"/>
      <c r="N5" s="108"/>
      <c r="O5" s="101"/>
      <c r="P5" s="72">
        <v>2.0</v>
      </c>
      <c r="Q5" s="72">
        <v>3.0</v>
      </c>
      <c r="R5" s="72">
        <v>2.0</v>
      </c>
      <c r="S5" s="72">
        <v>3.0</v>
      </c>
      <c r="T5" s="72">
        <v>3.0</v>
      </c>
      <c r="U5" s="72">
        <v>3.0</v>
      </c>
      <c r="V5" s="72">
        <v>3.0</v>
      </c>
      <c r="W5" s="72">
        <v>2.0</v>
      </c>
      <c r="X5" s="72">
        <v>2.0</v>
      </c>
      <c r="Y5" s="72">
        <v>3.0</v>
      </c>
      <c r="Z5" s="72">
        <v>1.0</v>
      </c>
      <c r="AA5" s="72">
        <v>3.0</v>
      </c>
      <c r="AB5" s="72">
        <v>0.0</v>
      </c>
      <c r="AC5" s="102">
        <v>0.0</v>
      </c>
      <c r="AD5" s="103" t="s">
        <v>177</v>
      </c>
      <c r="AE5" s="103" t="s">
        <v>177</v>
      </c>
      <c r="AF5" s="104"/>
      <c r="AG5" s="109"/>
      <c r="AH5" s="107"/>
      <c r="AI5" s="107"/>
      <c r="AJ5" s="107"/>
      <c r="AK5" s="107"/>
      <c r="AL5" s="75" t="b">
        <v>1</v>
      </c>
      <c r="AM5" s="107"/>
      <c r="AN5" s="107"/>
    </row>
    <row r="6">
      <c r="A6" s="94" t="str">
        <f>IFERROR(__xludf.DUMMYFUNCTION("""COMPUTED_VALUE"""),"mis_001_func_001_dpt_004")</f>
        <v>mis_001_func_001_dpt_004</v>
      </c>
      <c r="B6" s="95"/>
      <c r="C6" s="85"/>
      <c r="D6" s="63" t="s">
        <v>123</v>
      </c>
      <c r="E6" s="96"/>
      <c r="F6" s="97" t="s">
        <v>126</v>
      </c>
      <c r="G6" s="98" t="str">
        <f t="shared" si="1"/>
        <v>#REF!</v>
      </c>
      <c r="H6" s="68" t="b">
        <v>0</v>
      </c>
      <c r="I6" s="68" t="b">
        <v>0</v>
      </c>
      <c r="J6" s="107"/>
      <c r="K6" s="100"/>
      <c r="L6" s="107"/>
      <c r="M6" s="107"/>
      <c r="N6" s="108"/>
      <c r="O6" s="101"/>
      <c r="P6" s="72">
        <v>1.0</v>
      </c>
      <c r="Q6" s="72">
        <v>0.0</v>
      </c>
      <c r="R6" s="72">
        <v>0.0</v>
      </c>
      <c r="S6" s="72">
        <v>0.0</v>
      </c>
      <c r="T6" s="72">
        <v>0.0</v>
      </c>
      <c r="U6" s="72">
        <v>0.0</v>
      </c>
      <c r="V6" s="72">
        <v>0.0</v>
      </c>
      <c r="W6" s="72">
        <v>0.0</v>
      </c>
      <c r="X6" s="72">
        <v>0.0</v>
      </c>
      <c r="Y6" s="72">
        <v>0.0</v>
      </c>
      <c r="Z6" s="72">
        <v>0.0</v>
      </c>
      <c r="AA6" s="72">
        <v>0.0</v>
      </c>
      <c r="AB6" s="72">
        <v>0.0</v>
      </c>
      <c r="AC6" s="102">
        <v>0.0</v>
      </c>
      <c r="AD6" s="103" t="s">
        <v>177</v>
      </c>
      <c r="AE6" s="103" t="s">
        <v>177</v>
      </c>
      <c r="AF6" s="104"/>
      <c r="AG6" s="109"/>
      <c r="AH6" s="107"/>
      <c r="AI6" s="107"/>
      <c r="AJ6" s="107"/>
      <c r="AK6" s="107"/>
      <c r="AL6" s="75" t="b">
        <v>1</v>
      </c>
      <c r="AM6" s="107"/>
      <c r="AN6" s="107"/>
    </row>
    <row r="7">
      <c r="A7" s="94" t="str">
        <f>IFERROR(__xludf.DUMMYFUNCTION("""COMPUTED_VALUE"""),"mis_001_func_001_dpt_005")</f>
        <v>mis_001_func_001_dpt_005</v>
      </c>
      <c r="B7" s="95"/>
      <c r="C7" s="85"/>
      <c r="D7" s="63" t="s">
        <v>123</v>
      </c>
      <c r="E7" s="96"/>
      <c r="F7" s="97" t="s">
        <v>126</v>
      </c>
      <c r="G7" s="98" t="str">
        <f t="shared" si="1"/>
        <v>#REF!</v>
      </c>
      <c r="H7" s="68" t="b">
        <v>0</v>
      </c>
      <c r="I7" s="68" t="b">
        <v>0</v>
      </c>
      <c r="J7" s="107"/>
      <c r="K7" s="100"/>
      <c r="L7" s="107"/>
      <c r="M7" s="107"/>
      <c r="N7" s="108"/>
      <c r="O7" s="101"/>
      <c r="P7" s="72">
        <v>3.0</v>
      </c>
      <c r="Q7" s="72">
        <v>0.0</v>
      </c>
      <c r="R7" s="72">
        <v>0.0</v>
      </c>
      <c r="S7" s="72">
        <v>0.0</v>
      </c>
      <c r="T7" s="72">
        <v>0.0</v>
      </c>
      <c r="U7" s="72">
        <v>0.0</v>
      </c>
      <c r="V7" s="72">
        <v>0.0</v>
      </c>
      <c r="W7" s="72">
        <v>0.0</v>
      </c>
      <c r="X7" s="72">
        <v>0.0</v>
      </c>
      <c r="Y7" s="72">
        <v>0.0</v>
      </c>
      <c r="Z7" s="72">
        <v>0.0</v>
      </c>
      <c r="AA7" s="72">
        <v>0.0</v>
      </c>
      <c r="AB7" s="72">
        <v>0.0</v>
      </c>
      <c r="AC7" s="102">
        <v>0.0</v>
      </c>
      <c r="AD7" s="103" t="s">
        <v>177</v>
      </c>
      <c r="AE7" s="103" t="s">
        <v>177</v>
      </c>
      <c r="AF7" s="104"/>
      <c r="AG7" s="109"/>
      <c r="AH7" s="107"/>
      <c r="AI7" s="107"/>
      <c r="AJ7" s="107"/>
      <c r="AK7" s="107"/>
      <c r="AL7" s="75" t="b">
        <v>1</v>
      </c>
      <c r="AM7" s="107"/>
      <c r="AN7" s="107"/>
    </row>
    <row r="8">
      <c r="A8" s="94" t="str">
        <f>IFERROR(__xludf.DUMMYFUNCTION("""COMPUTED_VALUE"""),"mis_001_func_001_dpt_006")</f>
        <v>mis_001_func_001_dpt_006</v>
      </c>
      <c r="B8" s="95"/>
      <c r="C8" s="85"/>
      <c r="D8" s="63" t="s">
        <v>123</v>
      </c>
      <c r="E8" s="96"/>
      <c r="F8" s="97" t="s">
        <v>126</v>
      </c>
      <c r="G8" s="98" t="str">
        <f t="shared" si="1"/>
        <v>#REF!</v>
      </c>
      <c r="H8" s="68" t="b">
        <v>0</v>
      </c>
      <c r="I8" s="68" t="b">
        <v>0</v>
      </c>
      <c r="J8" s="107"/>
      <c r="K8" s="100"/>
      <c r="L8" s="107"/>
      <c r="M8" s="107"/>
      <c r="N8" s="108"/>
      <c r="O8" s="101"/>
      <c r="P8" s="72">
        <v>2.0</v>
      </c>
      <c r="Q8" s="72">
        <v>0.0</v>
      </c>
      <c r="R8" s="72">
        <v>0.0</v>
      </c>
      <c r="S8" s="72">
        <v>0.0</v>
      </c>
      <c r="T8" s="72">
        <v>0.0</v>
      </c>
      <c r="U8" s="72">
        <v>0.0</v>
      </c>
      <c r="V8" s="72">
        <v>0.0</v>
      </c>
      <c r="W8" s="72">
        <v>0.0</v>
      </c>
      <c r="X8" s="72">
        <v>0.0</v>
      </c>
      <c r="Y8" s="72">
        <v>0.0</v>
      </c>
      <c r="Z8" s="72">
        <v>0.0</v>
      </c>
      <c r="AA8" s="72">
        <v>0.0</v>
      </c>
      <c r="AB8" s="72">
        <v>0.0</v>
      </c>
      <c r="AC8" s="102">
        <v>0.0</v>
      </c>
      <c r="AD8" s="103" t="s">
        <v>177</v>
      </c>
      <c r="AE8" s="103" t="s">
        <v>177</v>
      </c>
      <c r="AF8" s="104"/>
      <c r="AG8" s="109"/>
      <c r="AH8" s="107"/>
      <c r="AI8" s="107"/>
      <c r="AJ8" s="107"/>
      <c r="AK8" s="107"/>
      <c r="AL8" s="75" t="b">
        <v>1</v>
      </c>
      <c r="AM8" s="107"/>
      <c r="AN8" s="107"/>
    </row>
    <row r="9">
      <c r="A9" s="94" t="str">
        <f>IFERROR(__xludf.DUMMYFUNCTION("""COMPUTED_VALUE"""),"mis_001_func_001_dpt_007")</f>
        <v>mis_001_func_001_dpt_007</v>
      </c>
      <c r="B9" s="95"/>
      <c r="C9" s="85"/>
      <c r="D9" s="63" t="s">
        <v>123</v>
      </c>
      <c r="E9" s="96"/>
      <c r="F9" s="97" t="s">
        <v>126</v>
      </c>
      <c r="G9" s="98" t="str">
        <f t="shared" si="1"/>
        <v>#REF!</v>
      </c>
      <c r="H9" s="68" t="b">
        <v>0</v>
      </c>
      <c r="I9" s="68" t="b">
        <v>0</v>
      </c>
      <c r="J9" s="107"/>
      <c r="K9" s="100"/>
      <c r="L9" s="107"/>
      <c r="M9" s="107"/>
      <c r="N9" s="108"/>
      <c r="O9" s="101"/>
      <c r="P9" s="72">
        <v>0.0</v>
      </c>
      <c r="Q9" s="72">
        <v>0.0</v>
      </c>
      <c r="R9" s="72">
        <v>0.0</v>
      </c>
      <c r="S9" s="72">
        <v>0.0</v>
      </c>
      <c r="T9" s="72">
        <v>0.0</v>
      </c>
      <c r="U9" s="72">
        <v>0.0</v>
      </c>
      <c r="V9" s="72">
        <v>0.0</v>
      </c>
      <c r="W9" s="72">
        <v>0.0</v>
      </c>
      <c r="X9" s="72">
        <v>0.0</v>
      </c>
      <c r="Y9" s="72">
        <v>0.0</v>
      </c>
      <c r="Z9" s="72">
        <v>0.0</v>
      </c>
      <c r="AA9" s="72">
        <v>0.0</v>
      </c>
      <c r="AB9" s="72">
        <v>0.0</v>
      </c>
      <c r="AC9" s="102">
        <v>0.0</v>
      </c>
      <c r="AD9" s="103" t="s">
        <v>177</v>
      </c>
      <c r="AE9" s="103" t="s">
        <v>177</v>
      </c>
      <c r="AF9" s="104"/>
      <c r="AG9" s="109"/>
      <c r="AH9" s="107"/>
      <c r="AI9" s="107"/>
      <c r="AJ9" s="107"/>
      <c r="AK9" s="107"/>
      <c r="AL9" s="75" t="b">
        <v>0</v>
      </c>
      <c r="AM9" s="107"/>
      <c r="AN9" s="107"/>
    </row>
    <row r="10">
      <c r="A10" s="94" t="str">
        <f>IFERROR(__xludf.DUMMYFUNCTION("""COMPUTED_VALUE"""),"mis_001_func_001_dpt_008")</f>
        <v>mis_001_func_001_dpt_008</v>
      </c>
      <c r="B10" s="95"/>
      <c r="C10" s="85"/>
      <c r="D10" s="63" t="s">
        <v>123</v>
      </c>
      <c r="E10" s="96"/>
      <c r="F10" s="97" t="s">
        <v>126</v>
      </c>
      <c r="G10" s="98" t="str">
        <f t="shared" si="1"/>
        <v>#REF!</v>
      </c>
      <c r="H10" s="68" t="b">
        <v>0</v>
      </c>
      <c r="I10" s="68" t="b">
        <v>0</v>
      </c>
      <c r="J10" s="107"/>
      <c r="K10" s="100"/>
      <c r="L10" s="107"/>
      <c r="M10" s="107"/>
      <c r="N10" s="108"/>
      <c r="O10" s="101"/>
      <c r="P10" s="72">
        <v>0.0</v>
      </c>
      <c r="Q10" s="72">
        <v>0.0</v>
      </c>
      <c r="R10" s="72">
        <v>0.0</v>
      </c>
      <c r="S10" s="72">
        <v>0.0</v>
      </c>
      <c r="T10" s="72">
        <v>0.0</v>
      </c>
      <c r="U10" s="72">
        <v>0.0</v>
      </c>
      <c r="V10" s="72">
        <v>0.0</v>
      </c>
      <c r="W10" s="72">
        <v>0.0</v>
      </c>
      <c r="X10" s="72">
        <v>0.0</v>
      </c>
      <c r="Y10" s="72">
        <v>0.0</v>
      </c>
      <c r="Z10" s="72">
        <v>0.0</v>
      </c>
      <c r="AA10" s="72">
        <v>0.0</v>
      </c>
      <c r="AB10" s="72">
        <v>0.0</v>
      </c>
      <c r="AC10" s="102">
        <v>0.0</v>
      </c>
      <c r="AD10" s="103" t="s">
        <v>177</v>
      </c>
      <c r="AE10" s="103" t="s">
        <v>177</v>
      </c>
      <c r="AF10" s="104"/>
      <c r="AG10" s="109"/>
      <c r="AH10" s="107"/>
      <c r="AI10" s="107"/>
      <c r="AJ10" s="107"/>
      <c r="AK10" s="107"/>
      <c r="AL10" s="75" t="b">
        <v>0</v>
      </c>
      <c r="AM10" s="107"/>
      <c r="AN10" s="107"/>
    </row>
    <row r="11">
      <c r="A11" s="94" t="str">
        <f>IFERROR(__xludf.DUMMYFUNCTION("""COMPUTED_VALUE"""),"mis_001_func_001_dpt_009")</f>
        <v>mis_001_func_001_dpt_009</v>
      </c>
      <c r="B11" s="95"/>
      <c r="C11" s="85"/>
      <c r="D11" s="63" t="s">
        <v>123</v>
      </c>
      <c r="E11" s="96"/>
      <c r="F11" s="97" t="s">
        <v>126</v>
      </c>
      <c r="G11" s="98" t="str">
        <f t="shared" si="1"/>
        <v>#REF!</v>
      </c>
      <c r="H11" s="68" t="b">
        <v>0</v>
      </c>
      <c r="I11" s="68" t="b">
        <v>0</v>
      </c>
      <c r="J11" s="107"/>
      <c r="K11" s="100"/>
      <c r="L11" s="107"/>
      <c r="M11" s="107"/>
      <c r="N11" s="108"/>
      <c r="O11" s="101"/>
      <c r="P11" s="72">
        <v>0.0</v>
      </c>
      <c r="Q11" s="72">
        <v>0.0</v>
      </c>
      <c r="R11" s="72">
        <v>0.0</v>
      </c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2">
        <v>0.0</v>
      </c>
      <c r="Y11" s="72">
        <v>0.0</v>
      </c>
      <c r="Z11" s="72">
        <v>0.0</v>
      </c>
      <c r="AA11" s="72">
        <v>0.0</v>
      </c>
      <c r="AB11" s="72">
        <v>0.0</v>
      </c>
      <c r="AC11" s="102">
        <v>0.0</v>
      </c>
      <c r="AD11" s="103" t="s">
        <v>177</v>
      </c>
      <c r="AE11" s="103" t="s">
        <v>177</v>
      </c>
      <c r="AF11" s="104"/>
      <c r="AG11" s="109"/>
      <c r="AH11" s="107"/>
      <c r="AI11" s="107"/>
      <c r="AJ11" s="107"/>
      <c r="AK11" s="107"/>
      <c r="AL11" s="75" t="b">
        <v>0</v>
      </c>
      <c r="AM11" s="107"/>
      <c r="AN11" s="107"/>
    </row>
    <row r="12">
      <c r="A12" s="94" t="str">
        <f>IFERROR(__xludf.DUMMYFUNCTION("""COMPUTED_VALUE"""),"mis_001_func_001_dpt_010")</f>
        <v>mis_001_func_001_dpt_010</v>
      </c>
      <c r="B12" s="95"/>
      <c r="C12" s="85"/>
      <c r="D12" s="63" t="s">
        <v>123</v>
      </c>
      <c r="E12" s="96"/>
      <c r="F12" s="97" t="s">
        <v>126</v>
      </c>
      <c r="G12" s="98" t="str">
        <f t="shared" si="1"/>
        <v>#REF!</v>
      </c>
      <c r="H12" s="68" t="b">
        <v>0</v>
      </c>
      <c r="I12" s="68" t="b">
        <v>0</v>
      </c>
      <c r="J12" s="107"/>
      <c r="K12" s="100"/>
      <c r="L12" s="107"/>
      <c r="M12" s="107"/>
      <c r="N12" s="108"/>
      <c r="O12" s="101"/>
      <c r="P12" s="72">
        <v>0.0</v>
      </c>
      <c r="Q12" s="72">
        <v>0.0</v>
      </c>
      <c r="R12" s="72">
        <v>0.0</v>
      </c>
      <c r="S12" s="72">
        <v>0.0</v>
      </c>
      <c r="T12" s="72">
        <v>0.0</v>
      </c>
      <c r="U12" s="72">
        <v>0.0</v>
      </c>
      <c r="V12" s="72">
        <v>0.0</v>
      </c>
      <c r="W12" s="72">
        <v>0.0</v>
      </c>
      <c r="X12" s="72">
        <v>0.0</v>
      </c>
      <c r="Y12" s="72">
        <v>0.0</v>
      </c>
      <c r="Z12" s="72">
        <v>0.0</v>
      </c>
      <c r="AA12" s="72">
        <v>0.0</v>
      </c>
      <c r="AB12" s="72">
        <v>0.0</v>
      </c>
      <c r="AC12" s="102">
        <v>0.0</v>
      </c>
      <c r="AD12" s="103" t="s">
        <v>177</v>
      </c>
      <c r="AE12" s="103" t="s">
        <v>177</v>
      </c>
      <c r="AF12" s="104"/>
      <c r="AG12" s="109"/>
      <c r="AH12" s="107"/>
      <c r="AI12" s="107"/>
      <c r="AJ12" s="107"/>
      <c r="AK12" s="107"/>
      <c r="AL12" s="75" t="b">
        <v>0</v>
      </c>
      <c r="AM12" s="107"/>
      <c r="AN12" s="107"/>
    </row>
    <row r="13">
      <c r="A13" s="94" t="str">
        <f>IFERROR(__xludf.DUMMYFUNCTION("""COMPUTED_VALUE"""),"mis_001_func_001_dpt_011")</f>
        <v>mis_001_func_001_dpt_011</v>
      </c>
      <c r="B13" s="95"/>
      <c r="C13" s="85"/>
      <c r="D13" s="63" t="s">
        <v>123</v>
      </c>
      <c r="E13" s="96"/>
      <c r="F13" s="97" t="s">
        <v>126</v>
      </c>
      <c r="G13" s="98" t="str">
        <f t="shared" si="1"/>
        <v>#REF!</v>
      </c>
      <c r="H13" s="68" t="b">
        <v>0</v>
      </c>
      <c r="I13" s="68" t="b">
        <v>0</v>
      </c>
      <c r="J13" s="107"/>
      <c r="K13" s="100"/>
      <c r="L13" s="107"/>
      <c r="M13" s="107"/>
      <c r="N13" s="108"/>
      <c r="O13" s="101"/>
      <c r="P13" s="72">
        <v>0.0</v>
      </c>
      <c r="Q13" s="72">
        <v>0.0</v>
      </c>
      <c r="R13" s="72">
        <v>0.0</v>
      </c>
      <c r="S13" s="72">
        <v>0.0</v>
      </c>
      <c r="T13" s="72">
        <v>0.0</v>
      </c>
      <c r="U13" s="72">
        <v>0.0</v>
      </c>
      <c r="V13" s="72">
        <v>0.0</v>
      </c>
      <c r="W13" s="72">
        <v>0.0</v>
      </c>
      <c r="X13" s="72">
        <v>0.0</v>
      </c>
      <c r="Y13" s="72">
        <v>0.0</v>
      </c>
      <c r="Z13" s="72">
        <v>0.0</v>
      </c>
      <c r="AA13" s="72">
        <v>0.0</v>
      </c>
      <c r="AB13" s="72">
        <v>0.0</v>
      </c>
      <c r="AC13" s="102">
        <v>0.0</v>
      </c>
      <c r="AD13" s="103" t="s">
        <v>177</v>
      </c>
      <c r="AE13" s="103" t="s">
        <v>177</v>
      </c>
      <c r="AF13" s="104"/>
      <c r="AG13" s="109"/>
      <c r="AH13" s="107"/>
      <c r="AI13" s="107"/>
      <c r="AJ13" s="107"/>
      <c r="AK13" s="107"/>
      <c r="AL13" s="75" t="b">
        <v>0</v>
      </c>
      <c r="AM13" s="107"/>
      <c r="AN13" s="107"/>
    </row>
    <row r="14">
      <c r="A14" s="94" t="str">
        <f>IFERROR(__xludf.DUMMYFUNCTION("""COMPUTED_VALUE"""),"mis_001_func_001_dpt_012")</f>
        <v>mis_001_func_001_dpt_012</v>
      </c>
      <c r="B14" s="95"/>
      <c r="C14" s="85"/>
      <c r="D14" s="63" t="s">
        <v>123</v>
      </c>
      <c r="E14" s="96"/>
      <c r="F14" s="97" t="s">
        <v>126</v>
      </c>
      <c r="G14" s="98" t="str">
        <f t="shared" si="1"/>
        <v>#REF!</v>
      </c>
      <c r="H14" s="68" t="b">
        <v>0</v>
      </c>
      <c r="I14" s="68" t="b">
        <v>0</v>
      </c>
      <c r="J14" s="107"/>
      <c r="K14" s="100"/>
      <c r="L14" s="107"/>
      <c r="M14" s="107"/>
      <c r="N14" s="108"/>
      <c r="O14" s="101"/>
      <c r="P14" s="72">
        <v>0.0</v>
      </c>
      <c r="Q14" s="72">
        <v>0.0</v>
      </c>
      <c r="R14" s="72">
        <v>0.0</v>
      </c>
      <c r="S14" s="72">
        <v>0.0</v>
      </c>
      <c r="T14" s="72">
        <v>0.0</v>
      </c>
      <c r="U14" s="72">
        <v>0.0</v>
      </c>
      <c r="V14" s="72">
        <v>0.0</v>
      </c>
      <c r="W14" s="72">
        <v>0.0</v>
      </c>
      <c r="X14" s="72">
        <v>0.0</v>
      </c>
      <c r="Y14" s="72">
        <v>0.0</v>
      </c>
      <c r="Z14" s="72">
        <v>0.0</v>
      </c>
      <c r="AA14" s="72">
        <v>0.0</v>
      </c>
      <c r="AB14" s="72">
        <v>0.0</v>
      </c>
      <c r="AC14" s="102">
        <v>0.0</v>
      </c>
      <c r="AD14" s="103" t="s">
        <v>177</v>
      </c>
      <c r="AE14" s="103" t="s">
        <v>177</v>
      </c>
      <c r="AF14" s="104"/>
      <c r="AG14" s="109"/>
      <c r="AH14" s="107"/>
      <c r="AI14" s="107"/>
      <c r="AJ14" s="107"/>
      <c r="AK14" s="107"/>
      <c r="AL14" s="75" t="b">
        <v>0</v>
      </c>
      <c r="AM14" s="107"/>
      <c r="AN14" s="107"/>
    </row>
    <row r="15">
      <c r="A15" s="94" t="str">
        <f>IFERROR(__xludf.DUMMYFUNCTION("""COMPUTED_VALUE"""),"mis_001_func_001_dpt_013")</f>
        <v>mis_001_func_001_dpt_013</v>
      </c>
      <c r="B15" s="95"/>
      <c r="C15" s="85"/>
      <c r="D15" s="63" t="s">
        <v>123</v>
      </c>
      <c r="E15" s="96"/>
      <c r="F15" s="97" t="s">
        <v>126</v>
      </c>
      <c r="G15" s="98" t="str">
        <f t="shared" si="1"/>
        <v>#REF!</v>
      </c>
      <c r="H15" s="68" t="b">
        <v>0</v>
      </c>
      <c r="I15" s="68" t="b">
        <v>0</v>
      </c>
      <c r="J15" s="107"/>
      <c r="K15" s="100"/>
      <c r="L15" s="107"/>
      <c r="M15" s="107"/>
      <c r="N15" s="108"/>
      <c r="O15" s="101"/>
      <c r="P15" s="72">
        <v>0.0</v>
      </c>
      <c r="Q15" s="72">
        <v>0.0</v>
      </c>
      <c r="R15" s="72">
        <v>0.0</v>
      </c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2">
        <v>0.0</v>
      </c>
      <c r="Y15" s="72">
        <v>0.0</v>
      </c>
      <c r="Z15" s="72">
        <v>0.0</v>
      </c>
      <c r="AA15" s="72">
        <v>0.0</v>
      </c>
      <c r="AB15" s="72">
        <v>0.0</v>
      </c>
      <c r="AC15" s="102">
        <v>0.0</v>
      </c>
      <c r="AD15" s="103" t="s">
        <v>177</v>
      </c>
      <c r="AE15" s="103" t="s">
        <v>177</v>
      </c>
      <c r="AF15" s="104"/>
      <c r="AG15" s="109"/>
      <c r="AH15" s="107"/>
      <c r="AI15" s="107"/>
      <c r="AJ15" s="107"/>
      <c r="AK15" s="107"/>
      <c r="AL15" s="107"/>
      <c r="AM15" s="107"/>
      <c r="AN15" s="107"/>
    </row>
    <row r="16">
      <c r="A16" s="94" t="str">
        <f>IFERROR(__xludf.DUMMYFUNCTION("""COMPUTED_VALUE"""),"mis_001_func_001_dpt_014")</f>
        <v>mis_001_func_001_dpt_014</v>
      </c>
      <c r="B16" s="95"/>
      <c r="C16" s="85"/>
      <c r="D16" s="63" t="s">
        <v>123</v>
      </c>
      <c r="E16" s="96"/>
      <c r="F16" s="97" t="s">
        <v>126</v>
      </c>
      <c r="G16" s="98" t="str">
        <f t="shared" si="1"/>
        <v>#REF!</v>
      </c>
      <c r="H16" s="68" t="b">
        <v>0</v>
      </c>
      <c r="I16" s="68" t="b">
        <v>0</v>
      </c>
      <c r="J16" s="107"/>
      <c r="K16" s="100"/>
      <c r="L16" s="107"/>
      <c r="M16" s="107"/>
      <c r="N16" s="108"/>
      <c r="O16" s="101"/>
      <c r="P16" s="72">
        <v>0.0</v>
      </c>
      <c r="Q16" s="72">
        <v>0.0</v>
      </c>
      <c r="R16" s="72">
        <v>0.0</v>
      </c>
      <c r="S16" s="72">
        <v>0.0</v>
      </c>
      <c r="T16" s="72">
        <v>0.0</v>
      </c>
      <c r="U16" s="72">
        <v>0.0</v>
      </c>
      <c r="V16" s="72">
        <v>0.0</v>
      </c>
      <c r="W16" s="72">
        <v>0.0</v>
      </c>
      <c r="X16" s="72">
        <v>0.0</v>
      </c>
      <c r="Y16" s="72">
        <v>0.0</v>
      </c>
      <c r="Z16" s="72">
        <v>0.0</v>
      </c>
      <c r="AA16" s="72">
        <v>0.0</v>
      </c>
      <c r="AB16" s="72">
        <v>0.0</v>
      </c>
      <c r="AC16" s="102">
        <v>0.0</v>
      </c>
      <c r="AD16" s="103" t="s">
        <v>177</v>
      </c>
      <c r="AE16" s="103" t="s">
        <v>177</v>
      </c>
      <c r="AF16" s="104"/>
      <c r="AG16" s="109"/>
      <c r="AH16" s="107"/>
      <c r="AI16" s="107"/>
      <c r="AJ16" s="107"/>
      <c r="AK16" s="107"/>
      <c r="AL16" s="107"/>
      <c r="AM16" s="107"/>
      <c r="AN16" s="107"/>
    </row>
    <row r="17">
      <c r="A17" s="60" t="str">
        <f>IFERROR(__xludf.DUMMYFUNCTION("""COMPUTED_VALUE"""),"_dpt_015")</f>
        <v>_dpt_015</v>
      </c>
      <c r="B17" s="95"/>
      <c r="C17" s="85"/>
      <c r="D17" s="63"/>
      <c r="E17" s="60"/>
      <c r="F17" s="97"/>
      <c r="G17" s="98"/>
      <c r="H17" s="68"/>
      <c r="I17" s="68"/>
      <c r="J17" s="107"/>
      <c r="K17" s="100"/>
      <c r="L17" s="107"/>
      <c r="M17" s="107"/>
      <c r="N17" s="108"/>
      <c r="O17" s="108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103" t="s">
        <v>177</v>
      </c>
      <c r="AE17" s="103" t="s">
        <v>177</v>
      </c>
      <c r="AF17" s="110"/>
      <c r="AG17" s="107"/>
      <c r="AH17" s="107"/>
      <c r="AI17" s="107"/>
      <c r="AJ17" s="107"/>
      <c r="AK17" s="107"/>
      <c r="AL17" s="107"/>
      <c r="AM17" s="107"/>
      <c r="AN17" s="107"/>
    </row>
    <row r="18">
      <c r="A18" s="60" t="str">
        <f>IFERROR(__xludf.DUMMYFUNCTION("""COMPUTED_VALUE"""),"#N/A")</f>
        <v>#N/A</v>
      </c>
      <c r="B18" s="95"/>
      <c r="C18" s="85"/>
      <c r="D18" s="63"/>
      <c r="E18" s="60"/>
      <c r="F18" s="97"/>
      <c r="G18" s="98"/>
      <c r="H18" s="68"/>
      <c r="I18" s="68"/>
      <c r="J18" s="107"/>
      <c r="K18" s="100"/>
      <c r="L18" s="107"/>
      <c r="M18" s="107"/>
      <c r="N18" s="108"/>
      <c r="O18" s="108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103" t="s">
        <v>177</v>
      </c>
      <c r="AE18" s="103" t="s">
        <v>177</v>
      </c>
      <c r="AF18" s="110"/>
      <c r="AG18" s="107"/>
      <c r="AH18" s="107"/>
      <c r="AI18" s="107"/>
      <c r="AJ18" s="107"/>
      <c r="AK18" s="107"/>
      <c r="AL18" s="107"/>
      <c r="AM18" s="107"/>
      <c r="AN18" s="107"/>
    </row>
  </sheetData>
  <conditionalFormatting sqref="AF3:AF18">
    <cfRule type="expression" dxfId="0" priority="1">
      <formula>REGEXEXTRACT($AF3,"\d+")="1"</formula>
    </cfRule>
  </conditionalFormatting>
  <conditionalFormatting sqref="AF3:AF18">
    <cfRule type="expression" dxfId="1" priority="2">
      <formula>REGEXEXTRACT($AF3,"\d+")="2"</formula>
    </cfRule>
  </conditionalFormatting>
  <conditionalFormatting sqref="AF3:AF18">
    <cfRule type="expression" dxfId="2" priority="3">
      <formula>REGEXEXTRACT($AF3,"\d+")="3"</formula>
    </cfRule>
  </conditionalFormatting>
  <conditionalFormatting sqref="AF3:AF18">
    <cfRule type="expression" dxfId="3" priority="4">
      <formula>REGEXEXTRACT($AF3,"\d+")="4"</formula>
    </cfRule>
  </conditionalFormatting>
  <conditionalFormatting sqref="AF3:AF18">
    <cfRule type="expression" dxfId="4" priority="5">
      <formula>REGEXEXTRACT($AF3,"\d+")="5"</formula>
    </cfRule>
  </conditionalFormatting>
  <dataValidations>
    <dataValidation type="list" allowBlank="1" showErrorMessage="1" sqref="K3:K16">
      <formula1>"Bureautic soft,eMail / Instant messenger,Information System,Manual copy-paste,Meeting / Phone call,Web Data search"</formula1>
    </dataValidation>
    <dataValidation type="list" allowBlank="1" showErrorMessage="1" sqref="AL3:AL14">
      <formula1>'_options_list'!$C$10:$F$10</formula1>
    </dataValidation>
    <dataValidation type="list" allowBlank="1" showErrorMessage="1" sqref="D3:D16">
      <formula1>'2_mission_function'!$A$3</formula1>
    </dataValidation>
    <dataValidation type="list" allowBlank="1" showErrorMessage="1" sqref="A1:O1 AD1:AN1">
      <formula1>'_options_list'!$C$11:$J$11</formula1>
    </dataValidation>
    <dataValidation type="list" allowBlank="1" showErrorMessage="1" sqref="F3:F18">
      <formula1>#REF!</formula1>
    </dataValidation>
    <dataValidation type="list" allowBlank="1" showErrorMessage="1" sqref="P3:AC18">
      <formula1>"3,2,1,0"</formula1>
    </dataValidation>
    <dataValidation type="list" allowBlank="1" showErrorMessage="1" sqref="N3">
      <formula1>"1,0.7,0.5,0.2,0,1"</formula1>
    </dataValidation>
    <dataValidation type="list" allowBlank="1" showErrorMessage="1" sqref="H3:I16">
      <formula1>'_options_list'!$C$10:$F$10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10.63"/>
    <col customWidth="1" min="9" max="9" width="9.0"/>
    <col customWidth="1" min="10" max="10" width="9.38"/>
  </cols>
  <sheetData>
    <row r="1">
      <c r="A1" s="46" t="s">
        <v>84</v>
      </c>
      <c r="B1" s="46" t="s">
        <v>181</v>
      </c>
      <c r="C1" s="46" t="s">
        <v>107</v>
      </c>
      <c r="D1" s="46" t="s">
        <v>107</v>
      </c>
      <c r="E1" s="46" t="s">
        <v>107</v>
      </c>
      <c r="F1" s="46" t="s">
        <v>86</v>
      </c>
      <c r="G1" s="46" t="s">
        <v>85</v>
      </c>
      <c r="H1" s="46" t="s">
        <v>86</v>
      </c>
      <c r="I1" s="46" t="s">
        <v>88</v>
      </c>
      <c r="J1" s="46" t="s">
        <v>88</v>
      </c>
    </row>
    <row r="2">
      <c r="A2" s="111" t="s">
        <v>182</v>
      </c>
      <c r="B2" s="111" t="s">
        <v>183</v>
      </c>
      <c r="C2" s="112" t="str">
        <f>'2_mission'!A2</f>
        <v>id_mission</v>
      </c>
      <c r="D2" s="112" t="str">
        <f>'_settings_outputs'!A2</f>
        <v>id_output_config</v>
      </c>
      <c r="E2" s="112" t="str">
        <f>'_settings_api'!A2</f>
        <v>api_id</v>
      </c>
      <c r="F2" s="111" t="s">
        <v>184</v>
      </c>
      <c r="G2" s="111" t="s">
        <v>185</v>
      </c>
      <c r="H2" s="111" t="s">
        <v>117</v>
      </c>
      <c r="I2" s="111" t="s">
        <v>96</v>
      </c>
      <c r="J2" s="111" t="s">
        <v>97</v>
      </c>
    </row>
    <row r="3">
      <c r="I3" s="111"/>
      <c r="J3" s="111"/>
    </row>
  </sheetData>
  <dataValidations>
    <dataValidation type="list" allowBlank="1" showErrorMessage="1" sqref="A1:J1">
      <formula1>'_options_list'!$C$11:$J$11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13"/>
    <col customWidth="1" min="2" max="3" width="17.75"/>
  </cols>
  <sheetData>
    <row r="1">
      <c r="A1" s="46" t="s">
        <v>86</v>
      </c>
      <c r="B1" s="113" t="s">
        <v>84</v>
      </c>
      <c r="C1" s="46" t="s">
        <v>85</v>
      </c>
      <c r="D1" s="46" t="s">
        <v>88</v>
      </c>
      <c r="E1" s="46" t="s">
        <v>88</v>
      </c>
    </row>
    <row r="2">
      <c r="A2" s="114" t="s">
        <v>186</v>
      </c>
      <c r="B2" s="115" t="s">
        <v>187</v>
      </c>
      <c r="C2" s="115" t="s">
        <v>188</v>
      </c>
      <c r="D2" s="115" t="s">
        <v>96</v>
      </c>
      <c r="E2" s="115" t="s">
        <v>97</v>
      </c>
    </row>
    <row r="3">
      <c r="A3" s="116" t="b">
        <v>1</v>
      </c>
      <c r="B3" s="117" t="s">
        <v>189</v>
      </c>
      <c r="C3" s="118" t="s">
        <v>190</v>
      </c>
      <c r="D3" s="119"/>
      <c r="E3" s="119"/>
    </row>
    <row r="4">
      <c r="A4" s="116" t="b">
        <v>1</v>
      </c>
      <c r="B4" s="117" t="s">
        <v>191</v>
      </c>
      <c r="C4" s="118" t="s">
        <v>192</v>
      </c>
      <c r="D4" s="119"/>
      <c r="E4" s="119"/>
    </row>
  </sheetData>
  <conditionalFormatting sqref="B3:E4">
    <cfRule type="expression" dxfId="5" priority="1">
      <formula>$A3=FALSE</formula>
    </cfRule>
  </conditionalFormatting>
  <dataValidations>
    <dataValidation type="list" allowBlank="1" showErrorMessage="1" sqref="A1:E1">
      <formula1>'_options_list'!$C$11:$K$11</formula1>
    </dataValidation>
    <dataValidation type="list" allowBlank="1" showErrorMessage="1" sqref="A3:A4">
      <formula1>'_options_list'!$C$10:$F$10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15.38"/>
    <col customWidth="1" min="3" max="3" width="17.63"/>
    <col customWidth="1" min="4" max="4" width="14.25"/>
    <col customWidth="1" min="5" max="5" width="18.0"/>
    <col customWidth="1" min="6" max="7" width="14.25"/>
  </cols>
  <sheetData>
    <row r="1">
      <c r="A1" s="46" t="s">
        <v>86</v>
      </c>
      <c r="B1" s="46" t="s">
        <v>107</v>
      </c>
      <c r="C1" s="46" t="s">
        <v>193</v>
      </c>
      <c r="D1" s="113" t="s">
        <v>84</v>
      </c>
      <c r="E1" s="46" t="s">
        <v>85</v>
      </c>
      <c r="F1" s="46" t="s">
        <v>88</v>
      </c>
      <c r="G1" s="46" t="s">
        <v>88</v>
      </c>
    </row>
    <row r="2">
      <c r="A2" s="114" t="s">
        <v>186</v>
      </c>
      <c r="B2" s="120" t="str">
        <f t="array" ref="B2:B17">{'_lib_mission_type'!B$2; IF(C3:C17="", , XLOOKUP(C3:C17, '_lib_mission_type'!C3:C17, '_lib_mission_type'!B3:B17, ""))}</f>
        <v>id_mission_type_lib</v>
      </c>
      <c r="C2" s="120" t="str">
        <f>'_lib_mission_type'!C$2</f>
        <v>title_mission_type_lib</v>
      </c>
      <c r="D2" s="121" t="str">
        <f t="array" ref="D2:D17">{"id_cat_L1_lib";IF(C3:C17="",,xlookup(C3:C17,'_lib_mission_type'!C2:C17,'_lib_mission_type'!B2:B17)&amp;"_"&amp;TEXT(COUNTIFS(C$3:C17,C3:C17,ROW(C$3:C17),"&lt;="&amp;ROW(C3:C17)),"00"))}</f>
        <v>id_cat_L1_lib</v>
      </c>
      <c r="E2" s="115" t="s">
        <v>149</v>
      </c>
      <c r="F2" s="115" t="s">
        <v>96</v>
      </c>
      <c r="G2" s="115" t="s">
        <v>97</v>
      </c>
    </row>
    <row r="3">
      <c r="A3" s="116" t="b">
        <v>1</v>
      </c>
      <c r="B3" s="122" t="s">
        <v>189</v>
      </c>
      <c r="C3" s="118" t="s">
        <v>190</v>
      </c>
      <c r="D3" s="123" t="s">
        <v>194</v>
      </c>
      <c r="E3" s="111" t="s">
        <v>195</v>
      </c>
      <c r="F3" s="119"/>
      <c r="G3" s="119"/>
    </row>
    <row r="4">
      <c r="A4" s="116" t="b">
        <v>1</v>
      </c>
      <c r="B4" s="122" t="s">
        <v>189</v>
      </c>
      <c r="C4" s="118" t="s">
        <v>190</v>
      </c>
      <c r="D4" s="123" t="s">
        <v>196</v>
      </c>
      <c r="E4" s="111" t="s">
        <v>197</v>
      </c>
      <c r="F4" s="119"/>
      <c r="G4" s="119"/>
    </row>
    <row r="5">
      <c r="A5" s="116" t="b">
        <v>1</v>
      </c>
      <c r="B5" s="122" t="s">
        <v>189</v>
      </c>
      <c r="C5" s="118" t="s">
        <v>190</v>
      </c>
      <c r="D5" s="123" t="s">
        <v>198</v>
      </c>
      <c r="E5" s="111" t="s">
        <v>199</v>
      </c>
      <c r="F5" s="119"/>
      <c r="G5" s="119"/>
    </row>
    <row r="6">
      <c r="A6" s="116" t="b">
        <v>1</v>
      </c>
      <c r="B6" s="122" t="s">
        <v>189</v>
      </c>
      <c r="C6" s="118" t="s">
        <v>190</v>
      </c>
      <c r="D6" s="123" t="s">
        <v>200</v>
      </c>
      <c r="E6" s="111" t="s">
        <v>201</v>
      </c>
      <c r="F6" s="119"/>
      <c r="G6" s="119"/>
    </row>
    <row r="7">
      <c r="A7" s="116" t="b">
        <v>1</v>
      </c>
      <c r="B7" s="122" t="s">
        <v>189</v>
      </c>
      <c r="C7" s="118" t="s">
        <v>190</v>
      </c>
      <c r="D7" s="123" t="s">
        <v>202</v>
      </c>
      <c r="E7" s="111" t="s">
        <v>203</v>
      </c>
      <c r="F7" s="119"/>
      <c r="G7" s="119"/>
    </row>
    <row r="8">
      <c r="A8" s="124" t="b">
        <v>0</v>
      </c>
      <c r="B8" s="122" t="s">
        <v>191</v>
      </c>
      <c r="C8" s="118" t="s">
        <v>192</v>
      </c>
      <c r="D8" s="123" t="s">
        <v>204</v>
      </c>
      <c r="E8" s="125" t="s">
        <v>205</v>
      </c>
      <c r="F8" s="119"/>
      <c r="G8" s="119"/>
    </row>
    <row r="9">
      <c r="A9" s="124" t="b">
        <v>0</v>
      </c>
      <c r="B9" s="122" t="s">
        <v>191</v>
      </c>
      <c r="C9" s="118" t="s">
        <v>192</v>
      </c>
      <c r="D9" s="123" t="s">
        <v>206</v>
      </c>
      <c r="E9" s="126" t="s">
        <v>207</v>
      </c>
      <c r="F9" s="119"/>
      <c r="G9" s="119"/>
    </row>
    <row r="10">
      <c r="A10" s="124" t="b">
        <v>0</v>
      </c>
      <c r="B10" s="122" t="s">
        <v>191</v>
      </c>
      <c r="C10" s="118" t="s">
        <v>192</v>
      </c>
      <c r="D10" s="123" t="s">
        <v>208</v>
      </c>
      <c r="E10" s="127" t="s">
        <v>124</v>
      </c>
      <c r="F10" s="119"/>
      <c r="G10" s="119"/>
    </row>
    <row r="11">
      <c r="A11" s="124" t="b">
        <v>1</v>
      </c>
      <c r="B11" s="122" t="s">
        <v>191</v>
      </c>
      <c r="C11" s="118" t="s">
        <v>192</v>
      </c>
      <c r="D11" s="123" t="s">
        <v>209</v>
      </c>
      <c r="E11" s="127" t="s">
        <v>126</v>
      </c>
      <c r="F11" s="119"/>
      <c r="G11" s="119"/>
    </row>
    <row r="12">
      <c r="A12" s="124" t="b">
        <v>0</v>
      </c>
      <c r="B12" s="122" t="s">
        <v>191</v>
      </c>
      <c r="C12" s="118" t="s">
        <v>192</v>
      </c>
      <c r="D12" s="123" t="s">
        <v>210</v>
      </c>
      <c r="E12" s="125" t="s">
        <v>211</v>
      </c>
      <c r="F12" s="119"/>
      <c r="G12" s="119"/>
    </row>
    <row r="13">
      <c r="A13" s="124" t="b">
        <v>0</v>
      </c>
      <c r="B13" s="122" t="s">
        <v>191</v>
      </c>
      <c r="C13" s="118" t="s">
        <v>192</v>
      </c>
      <c r="D13" s="123" t="s">
        <v>212</v>
      </c>
      <c r="E13" s="125" t="s">
        <v>213</v>
      </c>
      <c r="F13" s="119"/>
      <c r="G13" s="119"/>
    </row>
    <row r="14">
      <c r="A14" s="124" t="b">
        <v>0</v>
      </c>
      <c r="B14" s="122" t="s">
        <v>191</v>
      </c>
      <c r="C14" s="118" t="s">
        <v>192</v>
      </c>
      <c r="D14" s="123" t="s">
        <v>214</v>
      </c>
      <c r="E14" s="127" t="s">
        <v>215</v>
      </c>
      <c r="F14" s="119"/>
      <c r="G14" s="119"/>
    </row>
    <row r="15">
      <c r="A15" s="124" t="b">
        <v>0</v>
      </c>
      <c r="B15" s="122" t="s">
        <v>191</v>
      </c>
      <c r="C15" s="118" t="s">
        <v>192</v>
      </c>
      <c r="D15" s="123" t="s">
        <v>216</v>
      </c>
      <c r="E15" s="126" t="s">
        <v>217</v>
      </c>
      <c r="F15" s="119"/>
      <c r="G15" s="119"/>
    </row>
    <row r="16">
      <c r="A16" s="124" t="b">
        <v>0</v>
      </c>
      <c r="B16" s="122" t="s">
        <v>191</v>
      </c>
      <c r="C16" s="118" t="s">
        <v>192</v>
      </c>
      <c r="D16" s="123" t="s">
        <v>218</v>
      </c>
      <c r="E16" s="126" t="s">
        <v>219</v>
      </c>
      <c r="F16" s="119"/>
      <c r="G16" s="119"/>
    </row>
    <row r="17">
      <c r="A17" s="124" t="b">
        <v>0</v>
      </c>
      <c r="B17" s="122" t="s">
        <v>191</v>
      </c>
      <c r="C17" s="118" t="s">
        <v>192</v>
      </c>
      <c r="D17" s="123" t="s">
        <v>220</v>
      </c>
      <c r="E17" s="125" t="s">
        <v>221</v>
      </c>
      <c r="F17" s="119"/>
      <c r="G17" s="119"/>
    </row>
  </sheetData>
  <conditionalFormatting sqref="B3:G17">
    <cfRule type="expression" dxfId="5" priority="1">
      <formula>$A3=FALSE</formula>
    </cfRule>
  </conditionalFormatting>
  <dataValidations>
    <dataValidation type="list" allowBlank="1" showErrorMessage="1" sqref="A1:G1">
      <formula1>'_options_list'!$C$11:$K$11</formula1>
    </dataValidation>
    <dataValidation type="list" allowBlank="1" showErrorMessage="1" sqref="A3:A17">
      <formula1>'_options_list'!$C$10:$F$10</formula1>
    </dataValidation>
    <dataValidation type="list" allowBlank="1" showErrorMessage="1" sqref="C3:C17">
      <formula1>'_lib_mission_type'!$C$3:$C$4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13"/>
    <col customWidth="1" min="2" max="2" width="15.38"/>
    <col customWidth="1" min="3" max="3" width="19.5"/>
    <col customWidth="1" min="4" max="4" width="14.0"/>
    <col customWidth="1" min="5" max="5" width="19.13"/>
    <col customWidth="1" min="6" max="6" width="15.5"/>
    <col customWidth="1" min="7" max="7" width="33.25"/>
  </cols>
  <sheetData>
    <row r="1">
      <c r="A1" s="128" t="s">
        <v>86</v>
      </c>
      <c r="B1" s="128" t="s">
        <v>107</v>
      </c>
      <c r="C1" s="128" t="s">
        <v>193</v>
      </c>
      <c r="D1" s="128" t="s">
        <v>107</v>
      </c>
      <c r="E1" s="129" t="s">
        <v>193</v>
      </c>
      <c r="F1" s="130" t="s">
        <v>84</v>
      </c>
      <c r="G1" s="128" t="s">
        <v>85</v>
      </c>
      <c r="H1" s="128" t="s">
        <v>88</v>
      </c>
      <c r="I1" s="128" t="s">
        <v>88</v>
      </c>
    </row>
    <row r="2">
      <c r="A2" s="114" t="s">
        <v>186</v>
      </c>
      <c r="B2" s="120" t="str">
        <f t="array" ref="B2:B113">{'_lib_mission_type'!B$2; IF(C3:C113="", , XLOOKUP(C3:C113, '_lib_mission_type'!C3:C113, '_lib_mission_type'!B3:B113, ""))}</f>
        <v>id_mission_type_lib</v>
      </c>
      <c r="C2" s="131" t="str">
        <f>'_lib_mission_type'!C2</f>
        <v>title_mission_type_lib</v>
      </c>
      <c r="D2" s="131" t="str">
        <f t="array" ref="D2:D113">{'_lib_cat_L1'!D$2; IF(E3:E113="", , XLOOKUP(E3:E113, '_lib_cat_L1'!E3:E113, '_lib_cat_L1'!D3:D113, ""))}</f>
        <v>id_cat_L1_lib</v>
      </c>
      <c r="E2" s="131" t="str">
        <f>'_lib_cat_L1'!E2</f>
        <v>title_cat_L1_lib</v>
      </c>
      <c r="F2" s="131" t="str">
        <f t="array" ref="F2:F113">{"id_cat_L2_lib"; IF(D3:D113="",, D3:D113&amp;"_"&amp;TEXT(COUNTIFS(D$3:D113,D3:D113,ROW(D$3:D113),"&lt;="&amp;ROW(D3:D113)),"00"))}</f>
        <v>id_cat_L2_lib</v>
      </c>
      <c r="G2" s="132" t="s">
        <v>222</v>
      </c>
      <c r="H2" s="132" t="s">
        <v>96</v>
      </c>
      <c r="I2" s="132" t="s">
        <v>97</v>
      </c>
    </row>
    <row r="3">
      <c r="A3" s="116" t="b">
        <v>1</v>
      </c>
      <c r="B3" s="133" t="s">
        <v>189</v>
      </c>
      <c r="C3" s="134" t="s">
        <v>190</v>
      </c>
      <c r="D3" s="133" t="s">
        <v>194</v>
      </c>
      <c r="E3" s="135" t="s">
        <v>195</v>
      </c>
      <c r="F3" s="136" t="s">
        <v>223</v>
      </c>
      <c r="G3" s="137" t="s">
        <v>224</v>
      </c>
      <c r="H3" s="138"/>
      <c r="I3" s="138"/>
    </row>
    <row r="4">
      <c r="A4" s="116" t="b">
        <v>1</v>
      </c>
      <c r="B4" s="133" t="s">
        <v>189</v>
      </c>
      <c r="C4" s="134" t="s">
        <v>190</v>
      </c>
      <c r="D4" s="133" t="s">
        <v>202</v>
      </c>
      <c r="E4" s="135" t="s">
        <v>203</v>
      </c>
      <c r="F4" s="136" t="s">
        <v>225</v>
      </c>
      <c r="G4" s="137" t="s">
        <v>226</v>
      </c>
      <c r="H4" s="138"/>
      <c r="I4" s="138"/>
    </row>
    <row r="5">
      <c r="A5" s="116" t="b">
        <v>1</v>
      </c>
      <c r="B5" s="133" t="s">
        <v>189</v>
      </c>
      <c r="C5" s="134" t="s">
        <v>190</v>
      </c>
      <c r="D5" s="133" t="s">
        <v>200</v>
      </c>
      <c r="E5" s="135" t="s">
        <v>201</v>
      </c>
      <c r="F5" s="136" t="s">
        <v>227</v>
      </c>
      <c r="G5" s="137" t="s">
        <v>228</v>
      </c>
      <c r="H5" s="138"/>
      <c r="I5" s="138"/>
    </row>
    <row r="6">
      <c r="A6" s="116" t="b">
        <v>1</v>
      </c>
      <c r="B6" s="133" t="s">
        <v>189</v>
      </c>
      <c r="C6" s="134" t="s">
        <v>190</v>
      </c>
      <c r="D6" s="133" t="s">
        <v>202</v>
      </c>
      <c r="E6" s="135" t="s">
        <v>203</v>
      </c>
      <c r="F6" s="136" t="s">
        <v>229</v>
      </c>
      <c r="G6" s="137" t="s">
        <v>230</v>
      </c>
      <c r="H6" s="138"/>
      <c r="I6" s="138"/>
    </row>
    <row r="7">
      <c r="A7" s="116" t="b">
        <v>1</v>
      </c>
      <c r="B7" s="133" t="s">
        <v>189</v>
      </c>
      <c r="C7" s="134" t="s">
        <v>190</v>
      </c>
      <c r="D7" s="133" t="s">
        <v>202</v>
      </c>
      <c r="E7" s="135" t="s">
        <v>203</v>
      </c>
      <c r="F7" s="136" t="s">
        <v>231</v>
      </c>
      <c r="G7" s="137" t="s">
        <v>232</v>
      </c>
      <c r="H7" s="138"/>
      <c r="I7" s="138"/>
    </row>
    <row r="8">
      <c r="A8" s="116" t="b">
        <v>1</v>
      </c>
      <c r="B8" s="133" t="s">
        <v>189</v>
      </c>
      <c r="C8" s="134" t="s">
        <v>190</v>
      </c>
      <c r="D8" s="133" t="s">
        <v>200</v>
      </c>
      <c r="E8" s="135" t="s">
        <v>201</v>
      </c>
      <c r="F8" s="136" t="s">
        <v>233</v>
      </c>
      <c r="G8" s="137" t="s">
        <v>234</v>
      </c>
      <c r="H8" s="138"/>
      <c r="I8" s="138"/>
    </row>
    <row r="9">
      <c r="A9" s="116" t="b">
        <v>1</v>
      </c>
      <c r="B9" s="133" t="s">
        <v>189</v>
      </c>
      <c r="C9" s="134" t="s">
        <v>190</v>
      </c>
      <c r="D9" s="133" t="s">
        <v>202</v>
      </c>
      <c r="E9" s="135" t="s">
        <v>203</v>
      </c>
      <c r="F9" s="136" t="s">
        <v>235</v>
      </c>
      <c r="G9" s="137" t="s">
        <v>236</v>
      </c>
      <c r="H9" s="138"/>
      <c r="I9" s="138"/>
    </row>
    <row r="10">
      <c r="A10" s="116" t="b">
        <v>1</v>
      </c>
      <c r="B10" s="133" t="s">
        <v>189</v>
      </c>
      <c r="C10" s="134" t="s">
        <v>190</v>
      </c>
      <c r="D10" s="133" t="s">
        <v>202</v>
      </c>
      <c r="E10" s="135" t="s">
        <v>203</v>
      </c>
      <c r="F10" s="136" t="s">
        <v>237</v>
      </c>
      <c r="G10" s="137" t="s">
        <v>238</v>
      </c>
      <c r="H10" s="138"/>
      <c r="I10" s="138"/>
    </row>
    <row r="11">
      <c r="A11" s="116" t="b">
        <v>1</v>
      </c>
      <c r="B11" s="133" t="s">
        <v>191</v>
      </c>
      <c r="C11" s="134" t="s">
        <v>192</v>
      </c>
      <c r="D11" s="133" t="s">
        <v>209</v>
      </c>
      <c r="E11" s="135" t="s">
        <v>126</v>
      </c>
      <c r="F11" s="136" t="s">
        <v>239</v>
      </c>
      <c r="G11" s="137" t="s">
        <v>240</v>
      </c>
      <c r="H11" s="138"/>
      <c r="I11" s="138"/>
    </row>
    <row r="12">
      <c r="A12" s="116" t="b">
        <v>1</v>
      </c>
      <c r="B12" s="133" t="s">
        <v>191</v>
      </c>
      <c r="C12" s="134" t="s">
        <v>192</v>
      </c>
      <c r="D12" s="133" t="s">
        <v>209</v>
      </c>
      <c r="E12" s="135" t="s">
        <v>126</v>
      </c>
      <c r="F12" s="136" t="s">
        <v>241</v>
      </c>
      <c r="G12" s="137" t="s">
        <v>242</v>
      </c>
      <c r="H12" s="138"/>
      <c r="I12" s="138"/>
    </row>
    <row r="13">
      <c r="A13" s="116" t="b">
        <v>1</v>
      </c>
      <c r="B13" s="133" t="s">
        <v>191</v>
      </c>
      <c r="C13" s="134" t="s">
        <v>192</v>
      </c>
      <c r="D13" s="133" t="s">
        <v>209</v>
      </c>
      <c r="E13" s="135" t="s">
        <v>126</v>
      </c>
      <c r="F13" s="136" t="s">
        <v>243</v>
      </c>
      <c r="G13" s="137" t="s">
        <v>244</v>
      </c>
      <c r="H13" s="138"/>
      <c r="I13" s="138"/>
    </row>
    <row r="14">
      <c r="A14" s="116" t="b">
        <v>1</v>
      </c>
      <c r="B14" s="133" t="s">
        <v>191</v>
      </c>
      <c r="C14" s="134" t="s">
        <v>192</v>
      </c>
      <c r="D14" s="133" t="s">
        <v>209</v>
      </c>
      <c r="E14" s="135" t="s">
        <v>126</v>
      </c>
      <c r="F14" s="136" t="s">
        <v>245</v>
      </c>
      <c r="G14" s="137" t="s">
        <v>246</v>
      </c>
      <c r="H14" s="138"/>
      <c r="I14" s="138"/>
    </row>
    <row r="15">
      <c r="A15" s="116" t="b">
        <v>1</v>
      </c>
      <c r="B15" s="133" t="s">
        <v>191</v>
      </c>
      <c r="C15" s="134" t="s">
        <v>192</v>
      </c>
      <c r="D15" s="133" t="s">
        <v>209</v>
      </c>
      <c r="E15" s="135" t="s">
        <v>126</v>
      </c>
      <c r="F15" s="136" t="s">
        <v>247</v>
      </c>
      <c r="G15" s="137" t="s">
        <v>248</v>
      </c>
      <c r="H15" s="138"/>
      <c r="I15" s="138"/>
    </row>
    <row r="16">
      <c r="A16" s="116" t="b">
        <v>1</v>
      </c>
      <c r="B16" s="133" t="s">
        <v>191</v>
      </c>
      <c r="C16" s="134" t="s">
        <v>192</v>
      </c>
      <c r="D16" s="133" t="s">
        <v>209</v>
      </c>
      <c r="E16" s="135" t="s">
        <v>126</v>
      </c>
      <c r="F16" s="136" t="s">
        <v>249</v>
      </c>
      <c r="G16" s="137" t="s">
        <v>250</v>
      </c>
      <c r="H16" s="138"/>
      <c r="I16" s="138"/>
    </row>
    <row r="17">
      <c r="A17" s="116" t="b">
        <v>1</v>
      </c>
      <c r="B17" s="133" t="s">
        <v>191</v>
      </c>
      <c r="C17" s="134" t="s">
        <v>192</v>
      </c>
      <c r="D17" s="133" t="s">
        <v>209</v>
      </c>
      <c r="E17" s="135" t="s">
        <v>126</v>
      </c>
      <c r="F17" s="136" t="s">
        <v>251</v>
      </c>
      <c r="G17" s="137" t="s">
        <v>252</v>
      </c>
      <c r="H17" s="138"/>
      <c r="I17" s="138"/>
    </row>
    <row r="18">
      <c r="A18" s="116" t="b">
        <v>1</v>
      </c>
      <c r="B18" s="133" t="s">
        <v>191</v>
      </c>
      <c r="C18" s="134" t="s">
        <v>192</v>
      </c>
      <c r="D18" s="133" t="s">
        <v>209</v>
      </c>
      <c r="E18" s="135" t="s">
        <v>126</v>
      </c>
      <c r="F18" s="136" t="s">
        <v>253</v>
      </c>
      <c r="G18" s="137" t="s">
        <v>254</v>
      </c>
      <c r="H18" s="138"/>
      <c r="I18" s="138"/>
    </row>
    <row r="19">
      <c r="A19" s="116" t="b">
        <v>1</v>
      </c>
      <c r="B19" s="133" t="s">
        <v>191</v>
      </c>
      <c r="C19" s="134" t="s">
        <v>192</v>
      </c>
      <c r="D19" s="133" t="s">
        <v>209</v>
      </c>
      <c r="E19" s="135" t="s">
        <v>126</v>
      </c>
      <c r="F19" s="136" t="s">
        <v>255</v>
      </c>
      <c r="G19" s="137" t="s">
        <v>256</v>
      </c>
      <c r="H19" s="138"/>
      <c r="I19" s="138"/>
    </row>
    <row r="20">
      <c r="A20" s="116" t="b">
        <v>1</v>
      </c>
      <c r="B20" s="133" t="s">
        <v>191</v>
      </c>
      <c r="C20" s="134" t="s">
        <v>192</v>
      </c>
      <c r="D20" s="133" t="s">
        <v>209</v>
      </c>
      <c r="E20" s="135" t="s">
        <v>126</v>
      </c>
      <c r="F20" s="136" t="s">
        <v>257</v>
      </c>
      <c r="G20" s="137" t="s">
        <v>258</v>
      </c>
      <c r="H20" s="138"/>
      <c r="I20" s="138"/>
    </row>
    <row r="21">
      <c r="A21" s="116" t="b">
        <v>1</v>
      </c>
      <c r="B21" s="133" t="s">
        <v>191</v>
      </c>
      <c r="C21" s="134" t="s">
        <v>192</v>
      </c>
      <c r="D21" s="133" t="s">
        <v>209</v>
      </c>
      <c r="E21" s="135" t="s">
        <v>126</v>
      </c>
      <c r="F21" s="136" t="s">
        <v>259</v>
      </c>
      <c r="G21" s="137" t="s">
        <v>260</v>
      </c>
      <c r="H21" s="138"/>
      <c r="I21" s="138"/>
    </row>
    <row r="22">
      <c r="A22" s="116" t="b">
        <v>1</v>
      </c>
      <c r="B22" s="133" t="s">
        <v>191</v>
      </c>
      <c r="C22" s="134" t="s">
        <v>192</v>
      </c>
      <c r="D22" s="133" t="s">
        <v>209</v>
      </c>
      <c r="E22" s="135" t="s">
        <v>126</v>
      </c>
      <c r="F22" s="136" t="s">
        <v>261</v>
      </c>
      <c r="G22" s="137" t="s">
        <v>262</v>
      </c>
      <c r="H22" s="138"/>
      <c r="I22" s="138"/>
    </row>
    <row r="23">
      <c r="A23" s="116" t="b">
        <v>1</v>
      </c>
      <c r="B23" s="133" t="s">
        <v>191</v>
      </c>
      <c r="C23" s="134" t="s">
        <v>192</v>
      </c>
      <c r="D23" s="133" t="s">
        <v>209</v>
      </c>
      <c r="E23" s="135" t="s">
        <v>126</v>
      </c>
      <c r="F23" s="136" t="s">
        <v>263</v>
      </c>
      <c r="G23" s="137" t="s">
        <v>264</v>
      </c>
      <c r="H23" s="138"/>
      <c r="I23" s="138"/>
    </row>
    <row r="24">
      <c r="A24" s="116" t="b">
        <v>1</v>
      </c>
      <c r="B24" s="133" t="s">
        <v>191</v>
      </c>
      <c r="C24" s="134" t="s">
        <v>192</v>
      </c>
      <c r="D24" s="133" t="s">
        <v>209</v>
      </c>
      <c r="E24" s="135" t="s">
        <v>126</v>
      </c>
      <c r="F24" s="136" t="s">
        <v>265</v>
      </c>
      <c r="G24" s="137" t="s">
        <v>266</v>
      </c>
      <c r="H24" s="138"/>
      <c r="I24" s="138"/>
    </row>
    <row r="25">
      <c r="A25" s="116" t="b">
        <v>0</v>
      </c>
      <c r="B25" s="133" t="s">
        <v>191</v>
      </c>
      <c r="C25" s="134" t="s">
        <v>192</v>
      </c>
      <c r="D25" s="139"/>
      <c r="E25" s="140"/>
      <c r="F25" s="141"/>
      <c r="G25" s="137" t="s">
        <v>267</v>
      </c>
      <c r="H25" s="138"/>
      <c r="I25" s="138"/>
    </row>
    <row r="26">
      <c r="A26" s="116" t="b">
        <v>0</v>
      </c>
      <c r="B26" s="133" t="s">
        <v>191</v>
      </c>
      <c r="C26" s="134" t="s">
        <v>192</v>
      </c>
      <c r="D26" s="139"/>
      <c r="E26" s="140"/>
      <c r="F26" s="141"/>
      <c r="G26" s="137" t="s">
        <v>268</v>
      </c>
      <c r="H26" s="138"/>
      <c r="I26" s="138"/>
    </row>
    <row r="27">
      <c r="A27" s="116" t="b">
        <v>0</v>
      </c>
      <c r="B27" s="133" t="s">
        <v>191</v>
      </c>
      <c r="C27" s="134" t="s">
        <v>192</v>
      </c>
      <c r="D27" s="139"/>
      <c r="E27" s="140"/>
      <c r="F27" s="141"/>
      <c r="G27" s="137" t="s">
        <v>269</v>
      </c>
      <c r="H27" s="138"/>
      <c r="I27" s="138"/>
    </row>
    <row r="28">
      <c r="A28" s="116" t="b">
        <v>0</v>
      </c>
      <c r="B28" s="133" t="s">
        <v>191</v>
      </c>
      <c r="C28" s="134" t="s">
        <v>192</v>
      </c>
      <c r="D28" s="139"/>
      <c r="E28" s="140"/>
      <c r="F28" s="141"/>
      <c r="G28" s="137" t="s">
        <v>270</v>
      </c>
      <c r="H28" s="138"/>
      <c r="I28" s="138"/>
    </row>
    <row r="29">
      <c r="A29" s="116" t="b">
        <v>0</v>
      </c>
      <c r="B29" s="133" t="s">
        <v>191</v>
      </c>
      <c r="C29" s="134" t="s">
        <v>192</v>
      </c>
      <c r="D29" s="139"/>
      <c r="E29" s="140"/>
      <c r="F29" s="141"/>
      <c r="G29" s="137" t="s">
        <v>271</v>
      </c>
      <c r="H29" s="138"/>
      <c r="I29" s="138"/>
    </row>
    <row r="30">
      <c r="A30" s="116" t="b">
        <v>0</v>
      </c>
      <c r="B30" s="133" t="s">
        <v>191</v>
      </c>
      <c r="C30" s="134" t="s">
        <v>192</v>
      </c>
      <c r="D30" s="139"/>
      <c r="E30" s="140"/>
      <c r="F30" s="141"/>
      <c r="G30" s="137" t="s">
        <v>272</v>
      </c>
      <c r="H30" s="138"/>
      <c r="I30" s="138"/>
    </row>
    <row r="31">
      <c r="A31" s="116" t="b">
        <v>0</v>
      </c>
      <c r="B31" s="133" t="s">
        <v>191</v>
      </c>
      <c r="C31" s="134" t="s">
        <v>192</v>
      </c>
      <c r="D31" s="139"/>
      <c r="E31" s="140"/>
      <c r="F31" s="141"/>
      <c r="G31" s="137" t="s">
        <v>273</v>
      </c>
      <c r="H31" s="138"/>
      <c r="I31" s="138"/>
    </row>
    <row r="32">
      <c r="A32" s="116" t="b">
        <v>0</v>
      </c>
      <c r="B32" s="133" t="s">
        <v>191</v>
      </c>
      <c r="C32" s="134" t="s">
        <v>192</v>
      </c>
      <c r="D32" s="139"/>
      <c r="E32" s="140"/>
      <c r="F32" s="141"/>
      <c r="G32" s="137" t="s">
        <v>274</v>
      </c>
      <c r="H32" s="138"/>
      <c r="I32" s="138"/>
    </row>
    <row r="33">
      <c r="A33" s="116" t="b">
        <v>0</v>
      </c>
      <c r="B33" s="133" t="s">
        <v>191</v>
      </c>
      <c r="C33" s="134" t="s">
        <v>192</v>
      </c>
      <c r="D33" s="139"/>
      <c r="E33" s="140"/>
      <c r="F33" s="141"/>
      <c r="G33" s="137" t="s">
        <v>275</v>
      </c>
      <c r="H33" s="138"/>
      <c r="I33" s="138"/>
    </row>
    <row r="34">
      <c r="A34" s="142" t="b">
        <v>0</v>
      </c>
      <c r="B34" s="133" t="s">
        <v>191</v>
      </c>
      <c r="C34" s="134" t="s">
        <v>192</v>
      </c>
      <c r="D34" s="139"/>
      <c r="E34" s="140"/>
      <c r="F34" s="141"/>
      <c r="G34" s="137" t="s">
        <v>276</v>
      </c>
      <c r="H34" s="138"/>
      <c r="I34" s="138"/>
    </row>
    <row r="35">
      <c r="A35" s="142" t="b">
        <v>0</v>
      </c>
      <c r="B35" s="133" t="s">
        <v>191</v>
      </c>
      <c r="C35" s="134" t="s">
        <v>192</v>
      </c>
      <c r="D35" s="139"/>
      <c r="E35" s="140"/>
      <c r="F35" s="141"/>
      <c r="G35" s="137" t="s">
        <v>277</v>
      </c>
      <c r="H35" s="138"/>
      <c r="I35" s="138"/>
    </row>
    <row r="36">
      <c r="A36" s="142" t="b">
        <v>0</v>
      </c>
      <c r="B36" s="133" t="s">
        <v>191</v>
      </c>
      <c r="C36" s="134" t="s">
        <v>192</v>
      </c>
      <c r="D36" s="139"/>
      <c r="E36" s="140"/>
      <c r="F36" s="141"/>
      <c r="G36" s="137" t="s">
        <v>278</v>
      </c>
      <c r="H36" s="138"/>
      <c r="I36" s="138"/>
    </row>
    <row r="37">
      <c r="A37" s="142" t="b">
        <v>0</v>
      </c>
      <c r="B37" s="133" t="s">
        <v>191</v>
      </c>
      <c r="C37" s="134" t="s">
        <v>192</v>
      </c>
      <c r="D37" s="139"/>
      <c r="E37" s="140"/>
      <c r="F37" s="141"/>
      <c r="G37" s="137" t="s">
        <v>279</v>
      </c>
      <c r="H37" s="138"/>
      <c r="I37" s="138"/>
    </row>
    <row r="38">
      <c r="A38" s="142" t="b">
        <v>0</v>
      </c>
      <c r="B38" s="133" t="s">
        <v>191</v>
      </c>
      <c r="C38" s="134" t="s">
        <v>192</v>
      </c>
      <c r="D38" s="139"/>
      <c r="E38" s="140"/>
      <c r="F38" s="141"/>
      <c r="G38" s="137" t="s">
        <v>280</v>
      </c>
      <c r="H38" s="138"/>
      <c r="I38" s="138"/>
    </row>
    <row r="39">
      <c r="A39" s="142" t="b">
        <v>0</v>
      </c>
      <c r="B39" s="133" t="s">
        <v>191</v>
      </c>
      <c r="C39" s="134" t="s">
        <v>192</v>
      </c>
      <c r="D39" s="139"/>
      <c r="E39" s="140"/>
      <c r="F39" s="141"/>
      <c r="G39" s="137" t="s">
        <v>281</v>
      </c>
      <c r="H39" s="138"/>
      <c r="I39" s="138"/>
    </row>
    <row r="40">
      <c r="A40" s="142" t="b">
        <v>0</v>
      </c>
      <c r="B40" s="133" t="s">
        <v>191</v>
      </c>
      <c r="C40" s="134" t="s">
        <v>192</v>
      </c>
      <c r="D40" s="139"/>
      <c r="E40" s="140"/>
      <c r="F40" s="141"/>
      <c r="G40" s="137" t="s">
        <v>282</v>
      </c>
      <c r="H40" s="138"/>
      <c r="I40" s="138"/>
    </row>
    <row r="41">
      <c r="A41" s="142" t="b">
        <v>0</v>
      </c>
      <c r="B41" s="133" t="s">
        <v>191</v>
      </c>
      <c r="C41" s="134" t="s">
        <v>192</v>
      </c>
      <c r="D41" s="139"/>
      <c r="E41" s="140"/>
      <c r="F41" s="141"/>
      <c r="G41" s="137" t="s">
        <v>283</v>
      </c>
      <c r="H41" s="138"/>
      <c r="I41" s="138"/>
    </row>
    <row r="42">
      <c r="A42" s="142" t="b">
        <v>0</v>
      </c>
      <c r="B42" s="133" t="s">
        <v>191</v>
      </c>
      <c r="C42" s="134" t="s">
        <v>192</v>
      </c>
      <c r="D42" s="139"/>
      <c r="E42" s="140"/>
      <c r="F42" s="141"/>
      <c r="G42" s="137" t="s">
        <v>284</v>
      </c>
      <c r="H42" s="138"/>
      <c r="I42" s="138"/>
    </row>
    <row r="43">
      <c r="A43" s="142" t="b">
        <v>0</v>
      </c>
      <c r="B43" s="133" t="s">
        <v>191</v>
      </c>
      <c r="C43" s="134" t="s">
        <v>192</v>
      </c>
      <c r="D43" s="139"/>
      <c r="E43" s="140"/>
      <c r="F43" s="141"/>
      <c r="G43" s="137" t="s">
        <v>285</v>
      </c>
      <c r="H43" s="138"/>
      <c r="I43" s="138"/>
    </row>
    <row r="44">
      <c r="A44" s="142" t="b">
        <v>0</v>
      </c>
      <c r="B44" s="133" t="s">
        <v>191</v>
      </c>
      <c r="C44" s="134" t="s">
        <v>192</v>
      </c>
      <c r="D44" s="139"/>
      <c r="E44" s="140"/>
      <c r="F44" s="141"/>
      <c r="G44" s="137" t="s">
        <v>286</v>
      </c>
      <c r="H44" s="138"/>
      <c r="I44" s="138"/>
    </row>
    <row r="45">
      <c r="A45" s="142" t="b">
        <v>0</v>
      </c>
      <c r="B45" s="133" t="s">
        <v>191</v>
      </c>
      <c r="C45" s="134" t="s">
        <v>192</v>
      </c>
      <c r="D45" s="139"/>
      <c r="E45" s="140"/>
      <c r="F45" s="141"/>
      <c r="G45" s="137" t="s">
        <v>287</v>
      </c>
      <c r="H45" s="138"/>
      <c r="I45" s="138"/>
    </row>
    <row r="46">
      <c r="A46" s="142" t="b">
        <v>0</v>
      </c>
      <c r="B46" s="133" t="s">
        <v>191</v>
      </c>
      <c r="C46" s="134" t="s">
        <v>192</v>
      </c>
      <c r="D46" s="139"/>
      <c r="E46" s="140"/>
      <c r="F46" s="141"/>
      <c r="G46" s="137" t="s">
        <v>288</v>
      </c>
      <c r="H46" s="138"/>
      <c r="I46" s="138"/>
    </row>
    <row r="47">
      <c r="A47" s="142" t="b">
        <v>0</v>
      </c>
      <c r="B47" s="133" t="s">
        <v>191</v>
      </c>
      <c r="C47" s="134" t="s">
        <v>192</v>
      </c>
      <c r="D47" s="139"/>
      <c r="E47" s="140"/>
      <c r="F47" s="141"/>
      <c r="G47" s="137" t="s">
        <v>289</v>
      </c>
      <c r="H47" s="138"/>
      <c r="I47" s="138"/>
    </row>
    <row r="48">
      <c r="A48" s="142" t="b">
        <v>0</v>
      </c>
      <c r="B48" s="133" t="s">
        <v>191</v>
      </c>
      <c r="C48" s="134" t="s">
        <v>192</v>
      </c>
      <c r="D48" s="139"/>
      <c r="E48" s="140"/>
      <c r="F48" s="141"/>
      <c r="G48" s="137" t="s">
        <v>290</v>
      </c>
      <c r="H48" s="138"/>
      <c r="I48" s="138"/>
    </row>
    <row r="49">
      <c r="A49" s="142" t="b">
        <v>0</v>
      </c>
      <c r="B49" s="133" t="s">
        <v>191</v>
      </c>
      <c r="C49" s="134" t="s">
        <v>192</v>
      </c>
      <c r="D49" s="139"/>
      <c r="E49" s="140"/>
      <c r="F49" s="141"/>
      <c r="G49" s="137" t="s">
        <v>291</v>
      </c>
      <c r="H49" s="138"/>
      <c r="I49" s="138"/>
    </row>
    <row r="50">
      <c r="A50" s="142" t="b">
        <v>0</v>
      </c>
      <c r="B50" s="133" t="s">
        <v>191</v>
      </c>
      <c r="C50" s="134" t="s">
        <v>192</v>
      </c>
      <c r="D50" s="139"/>
      <c r="E50" s="140"/>
      <c r="F50" s="141"/>
      <c r="G50" s="137" t="s">
        <v>292</v>
      </c>
      <c r="H50" s="138"/>
      <c r="I50" s="138"/>
    </row>
    <row r="51">
      <c r="A51" s="142" t="b">
        <v>0</v>
      </c>
      <c r="B51" s="133" t="s">
        <v>191</v>
      </c>
      <c r="C51" s="134" t="s">
        <v>192</v>
      </c>
      <c r="D51" s="139"/>
      <c r="E51" s="140"/>
      <c r="F51" s="141"/>
      <c r="G51" s="137" t="s">
        <v>293</v>
      </c>
      <c r="H51" s="138"/>
      <c r="I51" s="138"/>
    </row>
    <row r="52">
      <c r="A52" s="142" t="b">
        <v>0</v>
      </c>
      <c r="B52" s="133" t="s">
        <v>191</v>
      </c>
      <c r="C52" s="134" t="s">
        <v>192</v>
      </c>
      <c r="D52" s="139"/>
      <c r="E52" s="140"/>
      <c r="F52" s="141"/>
      <c r="G52" s="137" t="s">
        <v>294</v>
      </c>
      <c r="H52" s="138"/>
      <c r="I52" s="138"/>
    </row>
    <row r="53">
      <c r="A53" s="142" t="b">
        <v>0</v>
      </c>
      <c r="B53" s="133" t="s">
        <v>191</v>
      </c>
      <c r="C53" s="134" t="s">
        <v>192</v>
      </c>
      <c r="D53" s="139"/>
      <c r="E53" s="140"/>
      <c r="F53" s="141"/>
      <c r="G53" s="137" t="s">
        <v>295</v>
      </c>
      <c r="H53" s="138"/>
      <c r="I53" s="138"/>
    </row>
    <row r="54">
      <c r="A54" s="142" t="b">
        <v>0</v>
      </c>
      <c r="B54" s="133" t="s">
        <v>191</v>
      </c>
      <c r="C54" s="134" t="s">
        <v>192</v>
      </c>
      <c r="D54" s="139"/>
      <c r="E54" s="140"/>
      <c r="F54" s="141"/>
      <c r="G54" s="137" t="s">
        <v>296</v>
      </c>
      <c r="H54" s="138"/>
      <c r="I54" s="138"/>
    </row>
    <row r="55">
      <c r="A55" s="142" t="b">
        <v>0</v>
      </c>
      <c r="B55" s="133" t="s">
        <v>191</v>
      </c>
      <c r="C55" s="134" t="s">
        <v>192</v>
      </c>
      <c r="D55" s="139"/>
      <c r="E55" s="140"/>
      <c r="F55" s="141"/>
      <c r="G55" s="137" t="s">
        <v>297</v>
      </c>
      <c r="H55" s="138"/>
      <c r="I55" s="138"/>
    </row>
    <row r="56">
      <c r="A56" s="142" t="b">
        <v>0</v>
      </c>
      <c r="B56" s="133" t="s">
        <v>191</v>
      </c>
      <c r="C56" s="134" t="s">
        <v>192</v>
      </c>
      <c r="D56" s="139"/>
      <c r="E56" s="140"/>
      <c r="F56" s="141"/>
      <c r="G56" s="137" t="s">
        <v>298</v>
      </c>
      <c r="H56" s="138"/>
      <c r="I56" s="138"/>
    </row>
    <row r="57">
      <c r="A57" s="142" t="b">
        <v>0</v>
      </c>
      <c r="B57" s="133" t="s">
        <v>191</v>
      </c>
      <c r="C57" s="134" t="s">
        <v>192</v>
      </c>
      <c r="D57" s="139"/>
      <c r="E57" s="140"/>
      <c r="F57" s="141"/>
      <c r="G57" s="137" t="s">
        <v>299</v>
      </c>
      <c r="H57" s="138"/>
      <c r="I57" s="138"/>
    </row>
    <row r="58">
      <c r="A58" s="142" t="b">
        <v>0</v>
      </c>
      <c r="B58" s="133" t="s">
        <v>191</v>
      </c>
      <c r="C58" s="134" t="s">
        <v>192</v>
      </c>
      <c r="D58" s="139"/>
      <c r="E58" s="140"/>
      <c r="F58" s="141"/>
      <c r="G58" s="137" t="s">
        <v>300</v>
      </c>
      <c r="H58" s="138"/>
      <c r="I58" s="138"/>
    </row>
    <row r="59">
      <c r="A59" s="142" t="b">
        <v>0</v>
      </c>
      <c r="B59" s="133" t="s">
        <v>191</v>
      </c>
      <c r="C59" s="134" t="s">
        <v>192</v>
      </c>
      <c r="D59" s="139"/>
      <c r="E59" s="140"/>
      <c r="F59" s="141"/>
      <c r="G59" s="137" t="s">
        <v>301</v>
      </c>
      <c r="H59" s="138"/>
      <c r="I59" s="138"/>
    </row>
    <row r="60">
      <c r="A60" s="142" t="b">
        <v>0</v>
      </c>
      <c r="B60" s="133" t="s">
        <v>191</v>
      </c>
      <c r="C60" s="134" t="s">
        <v>192</v>
      </c>
      <c r="D60" s="139"/>
      <c r="E60" s="140"/>
      <c r="F60" s="141"/>
      <c r="G60" s="137" t="s">
        <v>302</v>
      </c>
      <c r="H60" s="138"/>
      <c r="I60" s="138"/>
    </row>
    <row r="61">
      <c r="A61" s="142" t="b">
        <v>0</v>
      </c>
      <c r="B61" s="133" t="s">
        <v>191</v>
      </c>
      <c r="C61" s="134" t="s">
        <v>192</v>
      </c>
      <c r="D61" s="139"/>
      <c r="E61" s="140"/>
      <c r="F61" s="141"/>
      <c r="G61" s="137" t="s">
        <v>303</v>
      </c>
      <c r="H61" s="138"/>
      <c r="I61" s="138"/>
    </row>
    <row r="62">
      <c r="A62" s="142" t="b">
        <v>0</v>
      </c>
      <c r="B62" s="133" t="s">
        <v>191</v>
      </c>
      <c r="C62" s="134" t="s">
        <v>192</v>
      </c>
      <c r="D62" s="139"/>
      <c r="E62" s="140"/>
      <c r="F62" s="141"/>
      <c r="G62" s="137" t="s">
        <v>304</v>
      </c>
      <c r="H62" s="138"/>
      <c r="I62" s="138"/>
    </row>
    <row r="63">
      <c r="A63" s="142" t="b">
        <v>0</v>
      </c>
      <c r="B63" s="133" t="s">
        <v>191</v>
      </c>
      <c r="C63" s="134" t="s">
        <v>192</v>
      </c>
      <c r="D63" s="139"/>
      <c r="E63" s="140"/>
      <c r="F63" s="141"/>
      <c r="G63" s="137" t="s">
        <v>305</v>
      </c>
      <c r="H63" s="138"/>
      <c r="I63" s="138"/>
    </row>
    <row r="64">
      <c r="A64" s="142" t="b">
        <v>0</v>
      </c>
      <c r="B64" s="133" t="s">
        <v>191</v>
      </c>
      <c r="C64" s="134" t="s">
        <v>192</v>
      </c>
      <c r="D64" s="139"/>
      <c r="E64" s="140"/>
      <c r="F64" s="141"/>
      <c r="G64" s="137" t="s">
        <v>306</v>
      </c>
      <c r="H64" s="138"/>
      <c r="I64" s="138"/>
    </row>
    <row r="65">
      <c r="A65" s="142" t="b">
        <v>0</v>
      </c>
      <c r="B65" s="133" t="s">
        <v>191</v>
      </c>
      <c r="C65" s="134" t="s">
        <v>192</v>
      </c>
      <c r="D65" s="139"/>
      <c r="E65" s="140"/>
      <c r="F65" s="141"/>
      <c r="G65" s="137" t="s">
        <v>307</v>
      </c>
      <c r="H65" s="138"/>
      <c r="I65" s="138"/>
    </row>
    <row r="66">
      <c r="A66" s="142" t="b">
        <v>0</v>
      </c>
      <c r="B66" s="133" t="s">
        <v>191</v>
      </c>
      <c r="C66" s="134" t="s">
        <v>192</v>
      </c>
      <c r="D66" s="139"/>
      <c r="E66" s="140"/>
      <c r="F66" s="141"/>
      <c r="G66" s="137" t="s">
        <v>308</v>
      </c>
      <c r="H66" s="138"/>
      <c r="I66" s="138"/>
    </row>
    <row r="67">
      <c r="A67" s="142" t="b">
        <v>0</v>
      </c>
      <c r="B67" s="133" t="s">
        <v>191</v>
      </c>
      <c r="C67" s="134" t="s">
        <v>192</v>
      </c>
      <c r="D67" s="139"/>
      <c r="E67" s="140"/>
      <c r="F67" s="141"/>
      <c r="G67" s="137" t="s">
        <v>309</v>
      </c>
      <c r="H67" s="138"/>
      <c r="I67" s="138"/>
    </row>
    <row r="68">
      <c r="A68" s="142" t="b">
        <v>0</v>
      </c>
      <c r="B68" s="133" t="s">
        <v>191</v>
      </c>
      <c r="C68" s="134" t="s">
        <v>192</v>
      </c>
      <c r="D68" s="139"/>
      <c r="E68" s="140"/>
      <c r="F68" s="141"/>
      <c r="G68" s="137" t="s">
        <v>310</v>
      </c>
      <c r="H68" s="138"/>
      <c r="I68" s="138"/>
    </row>
    <row r="69">
      <c r="A69" s="142" t="b">
        <v>0</v>
      </c>
      <c r="B69" s="133" t="s">
        <v>191</v>
      </c>
      <c r="C69" s="134" t="s">
        <v>192</v>
      </c>
      <c r="D69" s="139"/>
      <c r="E69" s="140"/>
      <c r="F69" s="141"/>
      <c r="G69" s="137" t="s">
        <v>311</v>
      </c>
      <c r="H69" s="138"/>
      <c r="I69" s="138"/>
    </row>
    <row r="70">
      <c r="A70" s="142" t="b">
        <v>0</v>
      </c>
      <c r="B70" s="133" t="s">
        <v>191</v>
      </c>
      <c r="C70" s="134" t="s">
        <v>192</v>
      </c>
      <c r="D70" s="139"/>
      <c r="E70" s="140"/>
      <c r="F70" s="141"/>
      <c r="G70" s="137" t="s">
        <v>312</v>
      </c>
      <c r="H70" s="138"/>
      <c r="I70" s="138"/>
    </row>
    <row r="71">
      <c r="A71" s="142" t="b">
        <v>0</v>
      </c>
      <c r="B71" s="133" t="s">
        <v>191</v>
      </c>
      <c r="C71" s="134" t="s">
        <v>192</v>
      </c>
      <c r="D71" s="139"/>
      <c r="E71" s="140"/>
      <c r="F71" s="141"/>
      <c r="G71" s="137" t="s">
        <v>313</v>
      </c>
      <c r="H71" s="138"/>
      <c r="I71" s="138"/>
    </row>
    <row r="72">
      <c r="A72" s="142" t="b">
        <v>0</v>
      </c>
      <c r="B72" s="133" t="s">
        <v>191</v>
      </c>
      <c r="C72" s="134" t="s">
        <v>192</v>
      </c>
      <c r="D72" s="139"/>
      <c r="E72" s="140"/>
      <c r="F72" s="141"/>
      <c r="G72" s="137" t="s">
        <v>314</v>
      </c>
      <c r="H72" s="138"/>
      <c r="I72" s="138"/>
    </row>
    <row r="73">
      <c r="A73" s="142" t="b">
        <v>0</v>
      </c>
      <c r="B73" s="133" t="s">
        <v>191</v>
      </c>
      <c r="C73" s="134" t="s">
        <v>192</v>
      </c>
      <c r="D73" s="139"/>
      <c r="E73" s="140"/>
      <c r="F73" s="141"/>
      <c r="G73" s="137" t="s">
        <v>315</v>
      </c>
      <c r="H73" s="138"/>
      <c r="I73" s="138"/>
    </row>
    <row r="74">
      <c r="A74" s="142" t="b">
        <v>0</v>
      </c>
      <c r="B74" s="133" t="s">
        <v>191</v>
      </c>
      <c r="C74" s="134" t="s">
        <v>192</v>
      </c>
      <c r="D74" s="139"/>
      <c r="E74" s="140"/>
      <c r="F74" s="141"/>
      <c r="G74" s="137" t="s">
        <v>316</v>
      </c>
      <c r="H74" s="138"/>
      <c r="I74" s="138"/>
    </row>
    <row r="75">
      <c r="A75" s="142" t="b">
        <v>0</v>
      </c>
      <c r="B75" s="133" t="s">
        <v>191</v>
      </c>
      <c r="C75" s="134" t="s">
        <v>192</v>
      </c>
      <c r="D75" s="139"/>
      <c r="E75" s="140"/>
      <c r="F75" s="141"/>
      <c r="G75" s="137" t="s">
        <v>317</v>
      </c>
      <c r="H75" s="138"/>
      <c r="I75" s="138"/>
    </row>
    <row r="76">
      <c r="A76" s="142" t="b">
        <v>0</v>
      </c>
      <c r="B76" s="133" t="s">
        <v>191</v>
      </c>
      <c r="C76" s="134" t="s">
        <v>192</v>
      </c>
      <c r="D76" s="139"/>
      <c r="E76" s="140"/>
      <c r="F76" s="141"/>
      <c r="G76" s="137" t="s">
        <v>318</v>
      </c>
      <c r="H76" s="138"/>
      <c r="I76" s="138"/>
    </row>
    <row r="77">
      <c r="A77" s="142" t="b">
        <v>0</v>
      </c>
      <c r="B77" s="133" t="s">
        <v>191</v>
      </c>
      <c r="C77" s="134" t="s">
        <v>192</v>
      </c>
      <c r="D77" s="139"/>
      <c r="E77" s="140"/>
      <c r="F77" s="141"/>
      <c r="G77" s="137" t="s">
        <v>319</v>
      </c>
      <c r="H77" s="138"/>
      <c r="I77" s="138"/>
    </row>
    <row r="78">
      <c r="A78" s="142" t="b">
        <v>0</v>
      </c>
      <c r="B78" s="133" t="s">
        <v>191</v>
      </c>
      <c r="C78" s="134" t="s">
        <v>192</v>
      </c>
      <c r="D78" s="139"/>
      <c r="E78" s="140"/>
      <c r="F78" s="141"/>
      <c r="G78" s="137" t="s">
        <v>320</v>
      </c>
      <c r="H78" s="138"/>
      <c r="I78" s="138"/>
    </row>
    <row r="79">
      <c r="A79" s="142" t="b">
        <v>0</v>
      </c>
      <c r="B79" s="133" t="s">
        <v>191</v>
      </c>
      <c r="C79" s="134" t="s">
        <v>192</v>
      </c>
      <c r="D79" s="139"/>
      <c r="E79" s="140"/>
      <c r="F79" s="141"/>
      <c r="G79" s="137" t="s">
        <v>321</v>
      </c>
      <c r="H79" s="138"/>
      <c r="I79" s="138"/>
    </row>
    <row r="80">
      <c r="A80" s="142" t="b">
        <v>0</v>
      </c>
      <c r="B80" s="133" t="s">
        <v>191</v>
      </c>
      <c r="C80" s="134" t="s">
        <v>192</v>
      </c>
      <c r="D80" s="139"/>
      <c r="E80" s="140"/>
      <c r="F80" s="141"/>
      <c r="G80" s="137" t="s">
        <v>322</v>
      </c>
      <c r="H80" s="138"/>
      <c r="I80" s="138"/>
    </row>
    <row r="81">
      <c r="A81" s="142" t="b">
        <v>0</v>
      </c>
      <c r="B81" s="133" t="s">
        <v>191</v>
      </c>
      <c r="C81" s="134" t="s">
        <v>192</v>
      </c>
      <c r="D81" s="139"/>
      <c r="E81" s="140"/>
      <c r="F81" s="141"/>
      <c r="G81" s="137" t="s">
        <v>323</v>
      </c>
      <c r="H81" s="138"/>
      <c r="I81" s="138"/>
    </row>
    <row r="82">
      <c r="A82" s="142" t="b">
        <v>0</v>
      </c>
      <c r="B82" s="133" t="s">
        <v>191</v>
      </c>
      <c r="C82" s="134" t="s">
        <v>192</v>
      </c>
      <c r="D82" s="139"/>
      <c r="E82" s="140"/>
      <c r="F82" s="141"/>
      <c r="G82" s="137" t="s">
        <v>324</v>
      </c>
      <c r="H82" s="138"/>
      <c r="I82" s="138"/>
    </row>
    <row r="83">
      <c r="A83" s="142" t="b">
        <v>0</v>
      </c>
      <c r="B83" s="133" t="s">
        <v>191</v>
      </c>
      <c r="C83" s="134" t="s">
        <v>192</v>
      </c>
      <c r="D83" s="139"/>
      <c r="E83" s="140"/>
      <c r="F83" s="141"/>
      <c r="G83" s="137" t="s">
        <v>205</v>
      </c>
      <c r="H83" s="138"/>
      <c r="I83" s="138"/>
    </row>
    <row r="84">
      <c r="A84" s="142" t="b">
        <v>0</v>
      </c>
      <c r="B84" s="133" t="s">
        <v>191</v>
      </c>
      <c r="C84" s="134" t="s">
        <v>192</v>
      </c>
      <c r="D84" s="139"/>
      <c r="E84" s="140"/>
      <c r="F84" s="141"/>
      <c r="G84" s="137" t="s">
        <v>325</v>
      </c>
      <c r="H84" s="138"/>
      <c r="I84" s="138"/>
    </row>
    <row r="85">
      <c r="A85" s="142" t="b">
        <v>0</v>
      </c>
      <c r="B85" s="133" t="s">
        <v>191</v>
      </c>
      <c r="C85" s="134" t="s">
        <v>192</v>
      </c>
      <c r="D85" s="139"/>
      <c r="E85" s="140"/>
      <c r="F85" s="141"/>
      <c r="G85" s="137" t="s">
        <v>326</v>
      </c>
      <c r="H85" s="138"/>
      <c r="I85" s="138"/>
    </row>
    <row r="86">
      <c r="A86" s="142" t="b">
        <v>0</v>
      </c>
      <c r="B86" s="133" t="s">
        <v>191</v>
      </c>
      <c r="C86" s="134" t="s">
        <v>192</v>
      </c>
      <c r="D86" s="139"/>
      <c r="E86" s="140"/>
      <c r="F86" s="141"/>
      <c r="G86" s="137" t="s">
        <v>327</v>
      </c>
      <c r="H86" s="138"/>
      <c r="I86" s="138"/>
    </row>
    <row r="87">
      <c r="A87" s="142" t="b">
        <v>0</v>
      </c>
      <c r="B87" s="133" t="s">
        <v>191</v>
      </c>
      <c r="C87" s="134" t="s">
        <v>192</v>
      </c>
      <c r="D87" s="139"/>
      <c r="E87" s="140"/>
      <c r="F87" s="141"/>
      <c r="G87" s="137" t="s">
        <v>328</v>
      </c>
      <c r="H87" s="138"/>
      <c r="I87" s="138"/>
    </row>
    <row r="88">
      <c r="A88" s="142" t="b">
        <v>0</v>
      </c>
      <c r="B88" s="133" t="s">
        <v>191</v>
      </c>
      <c r="C88" s="134" t="s">
        <v>192</v>
      </c>
      <c r="D88" s="139"/>
      <c r="E88" s="140"/>
      <c r="F88" s="141"/>
      <c r="G88" s="137" t="s">
        <v>221</v>
      </c>
      <c r="H88" s="138"/>
      <c r="I88" s="138"/>
    </row>
    <row r="89">
      <c r="A89" s="142" t="b">
        <v>0</v>
      </c>
      <c r="B89" s="133" t="s">
        <v>191</v>
      </c>
      <c r="C89" s="134" t="s">
        <v>192</v>
      </c>
      <c r="D89" s="139"/>
      <c r="E89" s="140"/>
      <c r="F89" s="141"/>
      <c r="G89" s="137" t="s">
        <v>329</v>
      </c>
      <c r="H89" s="138"/>
      <c r="I89" s="138"/>
    </row>
    <row r="90">
      <c r="A90" s="142" t="b">
        <v>0</v>
      </c>
      <c r="B90" s="133" t="s">
        <v>191</v>
      </c>
      <c r="C90" s="134" t="s">
        <v>192</v>
      </c>
      <c r="D90" s="139"/>
      <c r="E90" s="140"/>
      <c r="F90" s="141"/>
      <c r="G90" s="137" t="s">
        <v>330</v>
      </c>
      <c r="H90" s="138"/>
      <c r="I90" s="138"/>
    </row>
    <row r="91">
      <c r="A91" s="142" t="b">
        <v>0</v>
      </c>
      <c r="B91" s="133" t="s">
        <v>191</v>
      </c>
      <c r="C91" s="134" t="s">
        <v>192</v>
      </c>
      <c r="D91" s="139"/>
      <c r="E91" s="140"/>
      <c r="F91" s="141"/>
      <c r="G91" s="137" t="s">
        <v>331</v>
      </c>
      <c r="H91" s="138"/>
      <c r="I91" s="138"/>
    </row>
    <row r="92">
      <c r="A92" s="142" t="b">
        <v>0</v>
      </c>
      <c r="B92" s="133" t="s">
        <v>191</v>
      </c>
      <c r="C92" s="134" t="s">
        <v>192</v>
      </c>
      <c r="D92" s="139"/>
      <c r="E92" s="140"/>
      <c r="F92" s="141"/>
      <c r="G92" s="137" t="s">
        <v>332</v>
      </c>
      <c r="H92" s="138"/>
      <c r="I92" s="138"/>
    </row>
    <row r="93">
      <c r="A93" s="142" t="b">
        <v>0</v>
      </c>
      <c r="B93" s="133" t="s">
        <v>191</v>
      </c>
      <c r="C93" s="134" t="s">
        <v>192</v>
      </c>
      <c r="D93" s="139"/>
      <c r="E93" s="140"/>
      <c r="F93" s="141"/>
      <c r="G93" s="137" t="s">
        <v>333</v>
      </c>
      <c r="H93" s="138"/>
      <c r="I93" s="138"/>
    </row>
    <row r="94">
      <c r="A94" s="142" t="b">
        <v>0</v>
      </c>
      <c r="B94" s="133" t="s">
        <v>191</v>
      </c>
      <c r="C94" s="134" t="s">
        <v>192</v>
      </c>
      <c r="D94" s="139"/>
      <c r="E94" s="140"/>
      <c r="F94" s="141"/>
      <c r="G94" s="137" t="s">
        <v>334</v>
      </c>
      <c r="H94" s="138"/>
      <c r="I94" s="138"/>
    </row>
    <row r="95">
      <c r="A95" s="142" t="b">
        <v>0</v>
      </c>
      <c r="B95" s="133" t="s">
        <v>191</v>
      </c>
      <c r="C95" s="134" t="s">
        <v>192</v>
      </c>
      <c r="D95" s="139"/>
      <c r="E95" s="140"/>
      <c r="F95" s="141"/>
      <c r="G95" s="137" t="s">
        <v>335</v>
      </c>
      <c r="H95" s="138"/>
      <c r="I95" s="138"/>
    </row>
    <row r="96">
      <c r="A96" s="142" t="b">
        <v>0</v>
      </c>
      <c r="B96" s="133" t="s">
        <v>191</v>
      </c>
      <c r="C96" s="134" t="s">
        <v>192</v>
      </c>
      <c r="D96" s="139"/>
      <c r="E96" s="140"/>
      <c r="F96" s="141"/>
      <c r="G96" s="137" t="s">
        <v>336</v>
      </c>
      <c r="H96" s="138"/>
      <c r="I96" s="138"/>
    </row>
    <row r="97">
      <c r="A97" s="142" t="b">
        <v>0</v>
      </c>
      <c r="B97" s="133" t="s">
        <v>191</v>
      </c>
      <c r="C97" s="134" t="s">
        <v>192</v>
      </c>
      <c r="D97" s="139"/>
      <c r="E97" s="140"/>
      <c r="F97" s="141"/>
      <c r="G97" s="137" t="s">
        <v>337</v>
      </c>
      <c r="H97" s="138"/>
      <c r="I97" s="138"/>
    </row>
    <row r="98">
      <c r="A98" s="142" t="b">
        <v>0</v>
      </c>
      <c r="B98" s="133" t="s">
        <v>191</v>
      </c>
      <c r="C98" s="134" t="s">
        <v>192</v>
      </c>
      <c r="D98" s="139"/>
      <c r="E98" s="140"/>
      <c r="F98" s="141"/>
      <c r="G98" s="137" t="s">
        <v>338</v>
      </c>
      <c r="H98" s="138"/>
      <c r="I98" s="138"/>
    </row>
    <row r="99">
      <c r="A99" s="142" t="b">
        <v>0</v>
      </c>
      <c r="B99" s="133" t="s">
        <v>191</v>
      </c>
      <c r="C99" s="134" t="s">
        <v>192</v>
      </c>
      <c r="D99" s="139"/>
      <c r="E99" s="140"/>
      <c r="F99" s="141"/>
      <c r="G99" s="137" t="s">
        <v>339</v>
      </c>
      <c r="H99" s="138"/>
      <c r="I99" s="138"/>
    </row>
    <row r="100">
      <c r="A100" s="142" t="b">
        <v>0</v>
      </c>
      <c r="B100" s="133" t="s">
        <v>191</v>
      </c>
      <c r="C100" s="134" t="s">
        <v>192</v>
      </c>
      <c r="D100" s="139"/>
      <c r="E100" s="140"/>
      <c r="F100" s="141"/>
      <c r="G100" s="137" t="s">
        <v>340</v>
      </c>
      <c r="H100" s="138"/>
      <c r="I100" s="138"/>
    </row>
    <row r="101">
      <c r="A101" s="142" t="b">
        <v>0</v>
      </c>
      <c r="B101" s="133" t="s">
        <v>191</v>
      </c>
      <c r="C101" s="134" t="s">
        <v>192</v>
      </c>
      <c r="D101" s="139"/>
      <c r="E101" s="140"/>
      <c r="F101" s="141"/>
      <c r="G101" s="137" t="s">
        <v>341</v>
      </c>
      <c r="H101" s="138"/>
      <c r="I101" s="138"/>
    </row>
    <row r="102">
      <c r="A102" s="142" t="b">
        <v>0</v>
      </c>
      <c r="B102" s="133" t="s">
        <v>191</v>
      </c>
      <c r="C102" s="134" t="s">
        <v>192</v>
      </c>
      <c r="D102" s="139"/>
      <c r="E102" s="140"/>
      <c r="F102" s="141"/>
      <c r="G102" s="137" t="s">
        <v>342</v>
      </c>
      <c r="H102" s="138"/>
      <c r="I102" s="138"/>
    </row>
    <row r="103">
      <c r="A103" s="142" t="b">
        <v>0</v>
      </c>
      <c r="B103" s="133" t="s">
        <v>191</v>
      </c>
      <c r="C103" s="134" t="s">
        <v>192</v>
      </c>
      <c r="D103" s="139"/>
      <c r="E103" s="140"/>
      <c r="F103" s="141"/>
      <c r="G103" s="137" t="s">
        <v>343</v>
      </c>
      <c r="H103" s="138"/>
      <c r="I103" s="138"/>
    </row>
    <row r="104">
      <c r="A104" s="142" t="b">
        <v>0</v>
      </c>
      <c r="B104" s="133" t="s">
        <v>191</v>
      </c>
      <c r="C104" s="134" t="s">
        <v>192</v>
      </c>
      <c r="D104" s="139"/>
      <c r="E104" s="140"/>
      <c r="F104" s="141"/>
      <c r="G104" s="137" t="s">
        <v>344</v>
      </c>
      <c r="H104" s="138"/>
      <c r="I104" s="138"/>
    </row>
    <row r="105">
      <c r="A105" s="142" t="b">
        <v>0</v>
      </c>
      <c r="B105" s="133" t="s">
        <v>191</v>
      </c>
      <c r="C105" s="134" t="s">
        <v>192</v>
      </c>
      <c r="D105" s="139"/>
      <c r="E105" s="140"/>
      <c r="F105" s="141"/>
      <c r="G105" s="137" t="s">
        <v>345</v>
      </c>
      <c r="H105" s="138"/>
      <c r="I105" s="138"/>
    </row>
    <row r="106">
      <c r="A106" s="142" t="b">
        <v>0</v>
      </c>
      <c r="B106" s="133" t="s">
        <v>191</v>
      </c>
      <c r="C106" s="134" t="s">
        <v>192</v>
      </c>
      <c r="D106" s="139"/>
      <c r="E106" s="140"/>
      <c r="F106" s="141"/>
      <c r="G106" s="137" t="s">
        <v>346</v>
      </c>
      <c r="H106" s="138"/>
      <c r="I106" s="138"/>
    </row>
    <row r="107">
      <c r="A107" s="142" t="b">
        <v>0</v>
      </c>
      <c r="B107" s="133" t="s">
        <v>191</v>
      </c>
      <c r="C107" s="134" t="s">
        <v>192</v>
      </c>
      <c r="D107" s="139"/>
      <c r="E107" s="140"/>
      <c r="F107" s="141"/>
      <c r="G107" s="137" t="s">
        <v>347</v>
      </c>
      <c r="H107" s="138"/>
      <c r="I107" s="138"/>
    </row>
    <row r="108">
      <c r="A108" s="142" t="b">
        <v>0</v>
      </c>
      <c r="B108" s="133" t="s">
        <v>191</v>
      </c>
      <c r="C108" s="134" t="s">
        <v>192</v>
      </c>
      <c r="D108" s="139"/>
      <c r="E108" s="140"/>
      <c r="F108" s="141"/>
      <c r="G108" s="137" t="s">
        <v>348</v>
      </c>
      <c r="H108" s="138"/>
      <c r="I108" s="138"/>
    </row>
    <row r="109">
      <c r="A109" s="142" t="b">
        <v>0</v>
      </c>
      <c r="B109" s="133" t="s">
        <v>191</v>
      </c>
      <c r="C109" s="134" t="s">
        <v>192</v>
      </c>
      <c r="D109" s="139"/>
      <c r="E109" s="140"/>
      <c r="F109" s="141"/>
      <c r="G109" s="137" t="s">
        <v>349</v>
      </c>
      <c r="H109" s="138"/>
      <c r="I109" s="138"/>
    </row>
    <row r="110">
      <c r="A110" s="142" t="b">
        <v>0</v>
      </c>
      <c r="B110" s="133" t="s">
        <v>191</v>
      </c>
      <c r="C110" s="134" t="s">
        <v>192</v>
      </c>
      <c r="D110" s="139"/>
      <c r="E110" s="140"/>
      <c r="F110" s="141"/>
      <c r="G110" s="137" t="s">
        <v>350</v>
      </c>
      <c r="H110" s="138"/>
      <c r="I110" s="138"/>
    </row>
    <row r="111">
      <c r="A111" s="142" t="b">
        <v>0</v>
      </c>
      <c r="B111" s="133" t="s">
        <v>191</v>
      </c>
      <c r="C111" s="134" t="s">
        <v>192</v>
      </c>
      <c r="D111" s="139"/>
      <c r="E111" s="140"/>
      <c r="F111" s="141"/>
      <c r="G111" s="137" t="s">
        <v>351</v>
      </c>
      <c r="H111" s="138"/>
      <c r="I111" s="138"/>
    </row>
    <row r="112">
      <c r="A112" s="142" t="b">
        <v>0</v>
      </c>
      <c r="B112" s="133" t="s">
        <v>191</v>
      </c>
      <c r="C112" s="134" t="s">
        <v>192</v>
      </c>
      <c r="D112" s="139"/>
      <c r="E112" s="140"/>
      <c r="F112" s="141"/>
      <c r="G112" s="137" t="s">
        <v>352</v>
      </c>
      <c r="H112" s="138"/>
      <c r="I112" s="138"/>
    </row>
    <row r="113">
      <c r="A113" s="142" t="b">
        <v>0</v>
      </c>
      <c r="B113" s="133" t="s">
        <v>191</v>
      </c>
      <c r="C113" s="134" t="s">
        <v>192</v>
      </c>
      <c r="D113" s="139"/>
      <c r="E113" s="140"/>
      <c r="F113" s="141"/>
      <c r="G113" s="137" t="s">
        <v>353</v>
      </c>
      <c r="H113" s="138"/>
      <c r="I113" s="138"/>
    </row>
  </sheetData>
  <conditionalFormatting sqref="B3:B113">
    <cfRule type="expression" dxfId="5" priority="1">
      <formula>$A3=FALSE</formula>
    </cfRule>
  </conditionalFormatting>
  <conditionalFormatting sqref="E3:I113">
    <cfRule type="expression" dxfId="6" priority="2">
      <formula>$A3=FALSE</formula>
    </cfRule>
  </conditionalFormatting>
  <conditionalFormatting sqref="B3:B113 C3:I100">
    <cfRule type="expression" dxfId="5" priority="3">
      <formula>"A$3=FALSE"</formula>
    </cfRule>
  </conditionalFormatting>
  <dataValidations>
    <dataValidation type="list" allowBlank="1" showErrorMessage="1" sqref="A1:I1">
      <formula1>'_options_list'!$C$11:$K$11</formula1>
    </dataValidation>
    <dataValidation type="list" allowBlank="1" showErrorMessage="1" sqref="E11:E113">
      <formula1>"Sales &amp; Service"</formula1>
    </dataValidation>
    <dataValidation type="list" allowBlank="1" showErrorMessage="1" sqref="E3:E10">
      <formula1>"Execution,Internal impact,Market impact,Materiality,Reality check"</formula1>
    </dataValidation>
    <dataValidation type="list" allowBlank="1" showErrorMessage="1" sqref="A3:A113">
      <formula1>'_options_list'!$C$10:$F$10</formula1>
    </dataValidation>
    <dataValidation type="list" allowBlank="1" showErrorMessage="1" sqref="C3:C113">
      <formula1>'_lib_mission_type'!$C$3:$C$4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13"/>
    <col customWidth="1" min="2" max="2" width="13.38"/>
    <col customWidth="1" min="3" max="3" width="12.25"/>
    <col customWidth="1" min="4" max="4" width="12.75"/>
    <col customWidth="1" min="5" max="5" width="14.0"/>
    <col customWidth="1" min="6" max="6" width="12.75"/>
    <col customWidth="1" min="7" max="7" width="14.88"/>
    <col customWidth="1" min="8" max="8" width="12.75"/>
    <col customWidth="1" min="9" max="9" width="14.0"/>
  </cols>
  <sheetData>
    <row r="1">
      <c r="A1" s="143" t="s">
        <v>86</v>
      </c>
      <c r="B1" s="144" t="s">
        <v>84</v>
      </c>
      <c r="C1" s="144" t="s">
        <v>86</v>
      </c>
      <c r="D1" s="145" t="s">
        <v>85</v>
      </c>
      <c r="E1" s="144" t="s">
        <v>85</v>
      </c>
      <c r="F1" s="144" t="s">
        <v>85</v>
      </c>
      <c r="G1" s="144" t="s">
        <v>85</v>
      </c>
      <c r="H1" s="144" t="s">
        <v>85</v>
      </c>
      <c r="I1" s="144" t="s">
        <v>85</v>
      </c>
      <c r="J1" s="144" t="s">
        <v>85</v>
      </c>
      <c r="K1" s="144" t="s">
        <v>85</v>
      </c>
      <c r="L1" s="143"/>
      <c r="M1" s="143" t="s">
        <v>86</v>
      </c>
      <c r="N1" s="143" t="s">
        <v>86</v>
      </c>
      <c r="O1" s="143" t="s">
        <v>85</v>
      </c>
      <c r="P1" s="143" t="s">
        <v>88</v>
      </c>
      <c r="Q1" s="143" t="s">
        <v>88</v>
      </c>
    </row>
    <row r="2">
      <c r="A2" s="146" t="s">
        <v>186</v>
      </c>
      <c r="B2" s="147" t="s">
        <v>354</v>
      </c>
      <c r="C2" s="147" t="s">
        <v>355</v>
      </c>
      <c r="D2" s="148" t="s">
        <v>356</v>
      </c>
      <c r="E2" s="147" t="s">
        <v>357</v>
      </c>
      <c r="F2" s="147" t="s">
        <v>358</v>
      </c>
      <c r="G2" s="147" t="s">
        <v>359</v>
      </c>
      <c r="H2" s="147" t="s">
        <v>360</v>
      </c>
      <c r="I2" s="147" t="s">
        <v>361</v>
      </c>
      <c r="J2" s="147" t="s">
        <v>362</v>
      </c>
      <c r="K2" s="146" t="s">
        <v>363</v>
      </c>
      <c r="L2" s="146" t="s">
        <v>364</v>
      </c>
      <c r="M2" s="146" t="s">
        <v>365</v>
      </c>
      <c r="N2" s="146" t="s">
        <v>366</v>
      </c>
      <c r="O2" s="146" t="s">
        <v>367</v>
      </c>
      <c r="P2" s="147" t="s">
        <v>96</v>
      </c>
      <c r="Q2" s="147" t="s">
        <v>97</v>
      </c>
    </row>
    <row r="3">
      <c r="A3" s="149" t="b">
        <v>1</v>
      </c>
      <c r="B3" s="150"/>
      <c r="C3" s="151" t="s">
        <v>205</v>
      </c>
      <c r="D3" s="151"/>
      <c r="E3" s="58" t="s">
        <v>368</v>
      </c>
      <c r="F3" s="150"/>
      <c r="G3" s="146" t="s">
        <v>369</v>
      </c>
      <c r="H3" s="150"/>
      <c r="I3" s="150"/>
      <c r="J3" s="152" t="s">
        <v>370</v>
      </c>
      <c r="K3" s="150"/>
      <c r="L3" s="149" t="s">
        <v>371</v>
      </c>
      <c r="M3" s="149" t="s">
        <v>372</v>
      </c>
      <c r="N3" s="150"/>
      <c r="O3" s="150"/>
      <c r="P3" s="150"/>
      <c r="Q3" s="150"/>
    </row>
    <row r="4">
      <c r="A4" s="149" t="b">
        <v>1</v>
      </c>
      <c r="B4" s="150"/>
      <c r="C4" s="151" t="s">
        <v>205</v>
      </c>
      <c r="D4" s="151"/>
      <c r="E4" s="58" t="s">
        <v>368</v>
      </c>
      <c r="F4" s="150"/>
      <c r="G4" s="153" t="s">
        <v>369</v>
      </c>
      <c r="H4" s="150"/>
      <c r="I4" s="150"/>
      <c r="J4" s="154" t="s">
        <v>373</v>
      </c>
      <c r="K4" s="150"/>
      <c r="L4" s="149"/>
      <c r="M4" s="149" t="s">
        <v>372</v>
      </c>
      <c r="N4" s="150"/>
      <c r="O4" s="150"/>
      <c r="P4" s="150"/>
      <c r="Q4" s="150"/>
    </row>
    <row r="5">
      <c r="A5" s="149" t="b">
        <v>1</v>
      </c>
      <c r="B5" s="150"/>
      <c r="C5" s="151" t="s">
        <v>205</v>
      </c>
      <c r="D5" s="151"/>
      <c r="E5" s="58" t="s">
        <v>368</v>
      </c>
      <c r="F5" s="150"/>
      <c r="G5" s="153" t="s">
        <v>369</v>
      </c>
      <c r="H5" s="150"/>
      <c r="I5" s="150"/>
      <c r="J5" s="154" t="s">
        <v>374</v>
      </c>
      <c r="K5" s="150"/>
      <c r="L5" s="149"/>
      <c r="M5" s="149" t="s">
        <v>372</v>
      </c>
      <c r="N5" s="150"/>
      <c r="O5" s="150"/>
      <c r="P5" s="150"/>
      <c r="Q5" s="150"/>
    </row>
    <row r="6">
      <c r="A6" s="149" t="b">
        <v>1</v>
      </c>
      <c r="B6" s="150"/>
      <c r="C6" s="151" t="s">
        <v>205</v>
      </c>
      <c r="D6" s="150"/>
      <c r="E6" s="58" t="s">
        <v>368</v>
      </c>
      <c r="F6" s="150"/>
      <c r="G6" s="153" t="s">
        <v>369</v>
      </c>
      <c r="H6" s="150"/>
      <c r="I6" s="150"/>
      <c r="J6" s="154" t="s">
        <v>375</v>
      </c>
      <c r="K6" s="150"/>
      <c r="L6" s="149"/>
      <c r="M6" s="149" t="s">
        <v>372</v>
      </c>
      <c r="N6" s="150"/>
      <c r="O6" s="150"/>
      <c r="P6" s="150"/>
      <c r="Q6" s="150"/>
    </row>
    <row r="7">
      <c r="A7" s="149" t="b">
        <v>1</v>
      </c>
      <c r="B7" s="150"/>
      <c r="C7" s="151" t="s">
        <v>205</v>
      </c>
      <c r="D7" s="150"/>
      <c r="E7" s="58" t="s">
        <v>368</v>
      </c>
      <c r="F7" s="150"/>
      <c r="G7" s="153" t="s">
        <v>369</v>
      </c>
      <c r="H7" s="150"/>
      <c r="I7" s="150"/>
      <c r="J7" s="154" t="s">
        <v>376</v>
      </c>
      <c r="K7" s="150"/>
      <c r="L7" s="149"/>
      <c r="M7" s="149" t="s">
        <v>372</v>
      </c>
      <c r="N7" s="150"/>
      <c r="O7" s="150"/>
      <c r="P7" s="150"/>
      <c r="Q7" s="150"/>
    </row>
    <row r="8">
      <c r="A8" s="149" t="b">
        <v>1</v>
      </c>
      <c r="B8" s="150"/>
      <c r="C8" s="151" t="s">
        <v>205</v>
      </c>
      <c r="D8" s="150"/>
      <c r="E8" s="58" t="s">
        <v>368</v>
      </c>
      <c r="F8" s="150"/>
      <c r="G8" s="153" t="s">
        <v>369</v>
      </c>
      <c r="H8" s="150"/>
      <c r="I8" s="150"/>
      <c r="J8" s="154" t="s">
        <v>377</v>
      </c>
      <c r="K8" s="150"/>
      <c r="L8" s="149"/>
      <c r="M8" s="149" t="s">
        <v>372</v>
      </c>
      <c r="N8" s="150"/>
      <c r="O8" s="150"/>
      <c r="P8" s="150"/>
      <c r="Q8" s="150"/>
    </row>
    <row r="9">
      <c r="A9" s="149" t="b">
        <v>0</v>
      </c>
      <c r="B9" s="150"/>
      <c r="C9" s="151" t="s">
        <v>205</v>
      </c>
      <c r="D9" s="150"/>
      <c r="E9" s="58" t="s">
        <v>368</v>
      </c>
      <c r="F9" s="150"/>
      <c r="G9" s="153" t="s">
        <v>369</v>
      </c>
      <c r="H9" s="150"/>
      <c r="I9" s="150"/>
      <c r="J9" s="154" t="s">
        <v>378</v>
      </c>
      <c r="K9" s="150"/>
      <c r="L9" s="149"/>
      <c r="M9" s="149" t="s">
        <v>372</v>
      </c>
      <c r="N9" s="150"/>
      <c r="O9" s="150"/>
      <c r="P9" s="150"/>
      <c r="Q9" s="150"/>
    </row>
    <row r="10">
      <c r="A10" s="149"/>
      <c r="B10" s="150"/>
      <c r="C10" s="151"/>
      <c r="D10" s="150"/>
      <c r="E10" s="58"/>
      <c r="F10" s="150"/>
      <c r="G10" s="146" t="s">
        <v>379</v>
      </c>
      <c r="H10" s="150"/>
      <c r="I10" s="150"/>
      <c r="J10" s="152" t="s">
        <v>370</v>
      </c>
      <c r="K10" s="150"/>
      <c r="L10" s="149" t="s">
        <v>371</v>
      </c>
      <c r="M10" s="149" t="s">
        <v>372</v>
      </c>
      <c r="N10" s="150"/>
      <c r="O10" s="150"/>
      <c r="P10" s="150"/>
      <c r="Q10" s="150"/>
    </row>
    <row r="11">
      <c r="A11" s="149" t="b">
        <v>0</v>
      </c>
      <c r="B11" s="150"/>
      <c r="C11" s="151" t="s">
        <v>205</v>
      </c>
      <c r="D11" s="150"/>
      <c r="E11" s="58" t="s">
        <v>368</v>
      </c>
      <c r="F11" s="150"/>
      <c r="H11" s="150"/>
      <c r="I11" s="150"/>
      <c r="J11" s="154" t="s">
        <v>380</v>
      </c>
      <c r="K11" s="150"/>
      <c r="L11" s="149"/>
      <c r="M11" s="149" t="s">
        <v>381</v>
      </c>
      <c r="N11" s="150"/>
      <c r="O11" s="150"/>
      <c r="P11" s="150"/>
      <c r="Q11" s="150"/>
    </row>
    <row r="12">
      <c r="A12" s="149" t="b">
        <v>0</v>
      </c>
      <c r="B12" s="150"/>
      <c r="C12" s="151" t="s">
        <v>205</v>
      </c>
      <c r="D12" s="150"/>
      <c r="E12" s="58" t="s">
        <v>368</v>
      </c>
      <c r="F12" s="150"/>
      <c r="G12" s="153" t="s">
        <v>379</v>
      </c>
      <c r="H12" s="150"/>
      <c r="I12" s="150"/>
      <c r="J12" s="154" t="s">
        <v>382</v>
      </c>
      <c r="K12" s="150"/>
      <c r="L12" s="149"/>
      <c r="M12" s="149" t="s">
        <v>381</v>
      </c>
      <c r="N12" s="150"/>
      <c r="O12" s="150"/>
      <c r="P12" s="150"/>
      <c r="Q12" s="150"/>
    </row>
    <row r="13">
      <c r="A13" s="149" t="b">
        <v>0</v>
      </c>
      <c r="B13" s="150"/>
      <c r="C13" s="151" t="s">
        <v>205</v>
      </c>
      <c r="D13" s="150"/>
      <c r="E13" s="58" t="s">
        <v>368</v>
      </c>
      <c r="F13" s="150"/>
      <c r="G13" s="153" t="s">
        <v>379</v>
      </c>
      <c r="H13" s="150"/>
      <c r="I13" s="150"/>
      <c r="J13" s="154" t="s">
        <v>383</v>
      </c>
      <c r="K13" s="150"/>
      <c r="L13" s="149"/>
      <c r="M13" s="149" t="s">
        <v>381</v>
      </c>
      <c r="N13" s="150"/>
      <c r="O13" s="150"/>
      <c r="P13" s="150"/>
      <c r="Q13" s="150"/>
    </row>
    <row r="14">
      <c r="A14" s="149" t="b">
        <v>0</v>
      </c>
      <c r="B14" s="150"/>
      <c r="C14" s="151" t="s">
        <v>205</v>
      </c>
      <c r="D14" s="150"/>
      <c r="E14" s="58" t="s">
        <v>368</v>
      </c>
      <c r="F14" s="150"/>
      <c r="G14" s="153" t="s">
        <v>379</v>
      </c>
      <c r="H14" s="150"/>
      <c r="I14" s="150"/>
      <c r="J14" s="154" t="s">
        <v>384</v>
      </c>
      <c r="K14" s="150"/>
      <c r="L14" s="149"/>
      <c r="M14" s="149" t="s">
        <v>381</v>
      </c>
      <c r="N14" s="150"/>
      <c r="O14" s="150"/>
      <c r="P14" s="150"/>
      <c r="Q14" s="150"/>
    </row>
    <row r="15">
      <c r="A15" s="149"/>
      <c r="B15" s="150"/>
      <c r="C15" s="151"/>
      <c r="D15" s="150"/>
      <c r="E15" s="58"/>
      <c r="F15" s="150"/>
      <c r="G15" s="155" t="s">
        <v>385</v>
      </c>
      <c r="H15" s="150"/>
      <c r="I15" s="150"/>
      <c r="J15" s="152" t="s">
        <v>370</v>
      </c>
      <c r="K15" s="150"/>
      <c r="L15" s="149" t="s">
        <v>371</v>
      </c>
      <c r="M15" s="149" t="s">
        <v>372</v>
      </c>
      <c r="N15" s="150"/>
      <c r="O15" s="150"/>
      <c r="P15" s="150"/>
      <c r="Q15" s="150"/>
    </row>
    <row r="16">
      <c r="A16" s="149" t="b">
        <v>0</v>
      </c>
      <c r="B16" s="150"/>
      <c r="C16" s="151" t="s">
        <v>205</v>
      </c>
      <c r="D16" s="150"/>
      <c r="E16" s="58" t="s">
        <v>368</v>
      </c>
      <c r="F16" s="150"/>
      <c r="H16" s="150"/>
      <c r="I16" s="150"/>
      <c r="J16" s="154" t="s">
        <v>386</v>
      </c>
      <c r="K16" s="150"/>
      <c r="L16" s="149"/>
      <c r="M16" s="149" t="s">
        <v>381</v>
      </c>
      <c r="N16" s="150"/>
      <c r="O16" s="150"/>
      <c r="P16" s="150"/>
      <c r="Q16" s="150"/>
    </row>
    <row r="17">
      <c r="A17" s="149" t="b">
        <v>0</v>
      </c>
      <c r="B17" s="150"/>
      <c r="C17" s="151" t="s">
        <v>205</v>
      </c>
      <c r="D17" s="150"/>
      <c r="E17" s="58" t="s">
        <v>368</v>
      </c>
      <c r="F17" s="150"/>
      <c r="G17" s="153" t="s">
        <v>385</v>
      </c>
      <c r="H17" s="150"/>
      <c r="I17" s="150"/>
      <c r="J17" s="154" t="s">
        <v>387</v>
      </c>
      <c r="K17" s="150"/>
      <c r="L17" s="149"/>
      <c r="M17" s="149" t="s">
        <v>381</v>
      </c>
      <c r="N17" s="150"/>
      <c r="O17" s="150"/>
      <c r="P17" s="150"/>
      <c r="Q17" s="150"/>
    </row>
    <row r="18">
      <c r="A18" s="149" t="b">
        <v>0</v>
      </c>
      <c r="B18" s="150"/>
      <c r="C18" s="151" t="s">
        <v>205</v>
      </c>
      <c r="D18" s="150"/>
      <c r="E18" s="58" t="s">
        <v>368</v>
      </c>
      <c r="F18" s="150"/>
      <c r="G18" s="153" t="s">
        <v>385</v>
      </c>
      <c r="H18" s="150"/>
      <c r="I18" s="150"/>
      <c r="J18" s="154" t="s">
        <v>388</v>
      </c>
      <c r="K18" s="150"/>
      <c r="L18" s="149"/>
      <c r="M18" s="149" t="s">
        <v>381</v>
      </c>
      <c r="N18" s="150"/>
      <c r="O18" s="150"/>
      <c r="P18" s="150"/>
      <c r="Q18" s="150"/>
    </row>
    <row r="19">
      <c r="A19" s="149" t="b">
        <v>0</v>
      </c>
      <c r="B19" s="150"/>
      <c r="C19" s="151" t="s">
        <v>205</v>
      </c>
      <c r="D19" s="150"/>
      <c r="E19" s="58" t="s">
        <v>368</v>
      </c>
      <c r="F19" s="150"/>
      <c r="G19" s="153" t="s">
        <v>385</v>
      </c>
      <c r="H19" s="150"/>
      <c r="I19" s="150"/>
      <c r="J19" s="154" t="s">
        <v>389</v>
      </c>
      <c r="K19" s="150"/>
      <c r="L19" s="149"/>
      <c r="M19" s="149" t="s">
        <v>372</v>
      </c>
      <c r="N19" s="150"/>
      <c r="O19" s="150"/>
      <c r="P19" s="150"/>
      <c r="Q19" s="150"/>
    </row>
    <row r="20">
      <c r="A20" s="149" t="b">
        <v>0</v>
      </c>
      <c r="B20" s="150"/>
      <c r="C20" s="151" t="s">
        <v>205</v>
      </c>
      <c r="D20" s="150"/>
      <c r="E20" s="58" t="s">
        <v>368</v>
      </c>
      <c r="F20" s="150"/>
      <c r="G20" s="153" t="s">
        <v>385</v>
      </c>
      <c r="H20" s="150"/>
      <c r="I20" s="150"/>
      <c r="J20" s="154" t="s">
        <v>390</v>
      </c>
      <c r="K20" s="150"/>
      <c r="L20" s="149"/>
      <c r="M20" s="149" t="s">
        <v>372</v>
      </c>
      <c r="N20" s="150"/>
      <c r="O20" s="150"/>
      <c r="P20" s="150"/>
      <c r="Q20" s="150"/>
    </row>
    <row r="21">
      <c r="A21" s="149"/>
      <c r="B21" s="150"/>
      <c r="C21" s="151"/>
      <c r="D21" s="150"/>
      <c r="E21" s="58"/>
      <c r="F21" s="150"/>
      <c r="G21" s="155" t="s">
        <v>391</v>
      </c>
      <c r="H21" s="150"/>
      <c r="I21" s="150"/>
      <c r="J21" s="152" t="s">
        <v>370</v>
      </c>
      <c r="K21" s="150"/>
      <c r="L21" s="149" t="s">
        <v>371</v>
      </c>
      <c r="M21" s="149" t="s">
        <v>372</v>
      </c>
      <c r="N21" s="150"/>
      <c r="O21" s="150"/>
      <c r="P21" s="150"/>
      <c r="Q21" s="150"/>
    </row>
    <row r="22">
      <c r="A22" s="149" t="b">
        <v>0</v>
      </c>
      <c r="B22" s="150"/>
      <c r="C22" s="151" t="s">
        <v>205</v>
      </c>
      <c r="D22" s="150"/>
      <c r="E22" s="58" t="s">
        <v>368</v>
      </c>
      <c r="F22" s="150"/>
      <c r="G22" s="153" t="s">
        <v>391</v>
      </c>
      <c r="H22" s="150"/>
      <c r="I22" s="150"/>
      <c r="J22" s="154" t="s">
        <v>392</v>
      </c>
      <c r="K22" s="150"/>
      <c r="L22" s="149"/>
      <c r="M22" s="149" t="s">
        <v>372</v>
      </c>
      <c r="N22" s="150"/>
      <c r="O22" s="150"/>
      <c r="P22" s="150"/>
      <c r="Q22" s="150"/>
    </row>
    <row r="23">
      <c r="A23" s="149" t="b">
        <v>0</v>
      </c>
      <c r="B23" s="150"/>
      <c r="C23" s="151" t="s">
        <v>205</v>
      </c>
      <c r="D23" s="150"/>
      <c r="F23" s="150"/>
      <c r="G23" s="153" t="s">
        <v>391</v>
      </c>
      <c r="H23" s="150"/>
      <c r="I23" s="150"/>
      <c r="J23" s="154" t="s">
        <v>393</v>
      </c>
      <c r="K23" s="150"/>
      <c r="L23" s="149"/>
      <c r="M23" s="149" t="s">
        <v>372</v>
      </c>
      <c r="N23" s="150"/>
      <c r="O23" s="150"/>
      <c r="P23" s="150"/>
      <c r="Q23" s="150"/>
    </row>
    <row r="24">
      <c r="A24" s="149" t="b">
        <v>0</v>
      </c>
      <c r="B24" s="150"/>
      <c r="C24" s="151" t="s">
        <v>205</v>
      </c>
      <c r="D24" s="150"/>
      <c r="F24" s="150"/>
      <c r="G24" s="153" t="s">
        <v>391</v>
      </c>
      <c r="H24" s="150"/>
      <c r="I24" s="150"/>
      <c r="J24" s="154" t="s">
        <v>394</v>
      </c>
      <c r="K24" s="150"/>
      <c r="L24" s="149"/>
      <c r="M24" s="149" t="s">
        <v>372</v>
      </c>
      <c r="N24" s="150"/>
      <c r="O24" s="150"/>
      <c r="P24" s="150"/>
      <c r="Q24" s="150"/>
    </row>
    <row r="25">
      <c r="A25" s="149" t="b">
        <v>0</v>
      </c>
      <c r="B25" s="150"/>
      <c r="C25" s="151" t="s">
        <v>205</v>
      </c>
      <c r="D25" s="150"/>
      <c r="F25" s="150"/>
      <c r="G25" s="153" t="s">
        <v>391</v>
      </c>
      <c r="H25" s="150"/>
      <c r="I25" s="150"/>
      <c r="J25" s="154" t="s">
        <v>395</v>
      </c>
      <c r="K25" s="150"/>
      <c r="L25" s="149"/>
      <c r="M25" s="149" t="s">
        <v>372</v>
      </c>
      <c r="N25" s="150"/>
      <c r="O25" s="150"/>
      <c r="P25" s="150"/>
      <c r="Q25" s="150"/>
    </row>
    <row r="26">
      <c r="A26" s="149"/>
      <c r="B26" s="150"/>
      <c r="C26" s="151"/>
      <c r="D26" s="150"/>
      <c r="F26" s="150"/>
      <c r="G26" s="155" t="s">
        <v>396</v>
      </c>
      <c r="H26" s="150"/>
      <c r="I26" s="150"/>
      <c r="J26" s="152" t="s">
        <v>370</v>
      </c>
      <c r="K26" s="150"/>
      <c r="L26" s="149" t="s">
        <v>371</v>
      </c>
      <c r="M26" s="149" t="s">
        <v>372</v>
      </c>
      <c r="N26" s="150"/>
      <c r="O26" s="150"/>
      <c r="P26" s="150"/>
      <c r="Q26" s="150"/>
    </row>
    <row r="27">
      <c r="A27" s="149" t="b">
        <v>0</v>
      </c>
      <c r="B27" s="150"/>
      <c r="C27" s="151" t="s">
        <v>205</v>
      </c>
      <c r="D27" s="150"/>
      <c r="F27" s="150"/>
      <c r="G27" s="153" t="s">
        <v>396</v>
      </c>
      <c r="H27" s="150"/>
      <c r="I27" s="150"/>
      <c r="J27" s="156" t="s">
        <v>397</v>
      </c>
      <c r="K27" s="150"/>
      <c r="L27" s="149"/>
      <c r="M27" s="149" t="s">
        <v>372</v>
      </c>
      <c r="N27" s="150"/>
      <c r="O27" s="150"/>
      <c r="P27" s="150"/>
      <c r="Q27" s="150"/>
    </row>
    <row r="28">
      <c r="A28" s="149" t="b">
        <v>0</v>
      </c>
      <c r="B28" s="150"/>
      <c r="C28" s="151" t="s">
        <v>205</v>
      </c>
      <c r="D28" s="150"/>
      <c r="F28" s="150"/>
      <c r="G28" s="153" t="s">
        <v>396</v>
      </c>
      <c r="H28" s="150"/>
      <c r="I28" s="150"/>
      <c r="J28" s="154" t="s">
        <v>398</v>
      </c>
      <c r="K28" s="150"/>
      <c r="L28" s="149"/>
      <c r="M28" s="149" t="s">
        <v>381</v>
      </c>
      <c r="N28" s="150"/>
      <c r="O28" s="150"/>
      <c r="P28" s="150"/>
      <c r="Q28" s="150"/>
    </row>
    <row r="29">
      <c r="A29" s="149" t="b">
        <v>0</v>
      </c>
      <c r="B29" s="150"/>
      <c r="C29" s="151" t="s">
        <v>205</v>
      </c>
      <c r="D29" s="150"/>
      <c r="F29" s="150"/>
      <c r="G29" s="153" t="s">
        <v>396</v>
      </c>
      <c r="H29" s="150"/>
      <c r="I29" s="150"/>
      <c r="J29" s="156" t="s">
        <v>399</v>
      </c>
      <c r="K29" s="150"/>
      <c r="L29" s="149"/>
      <c r="M29" s="149" t="s">
        <v>372</v>
      </c>
      <c r="N29" s="150"/>
      <c r="O29" s="150"/>
      <c r="P29" s="150"/>
      <c r="Q29" s="150"/>
    </row>
    <row r="30">
      <c r="A30" s="149" t="b">
        <v>0</v>
      </c>
      <c r="B30" s="150"/>
      <c r="C30" s="151" t="s">
        <v>205</v>
      </c>
      <c r="D30" s="150"/>
      <c r="F30" s="150"/>
      <c r="G30" s="153" t="s">
        <v>396</v>
      </c>
      <c r="H30" s="150"/>
      <c r="I30" s="150"/>
      <c r="J30" s="154" t="s">
        <v>400</v>
      </c>
      <c r="K30" s="150"/>
      <c r="L30" s="149"/>
      <c r="M30" s="149" t="s">
        <v>381</v>
      </c>
      <c r="N30" s="150"/>
      <c r="O30" s="150"/>
      <c r="P30" s="150"/>
      <c r="Q30" s="150"/>
    </row>
    <row r="31">
      <c r="A31" s="149"/>
      <c r="B31" s="150"/>
      <c r="C31" s="151"/>
      <c r="D31" s="150"/>
      <c r="F31" s="150"/>
      <c r="G31" s="155" t="s">
        <v>401</v>
      </c>
      <c r="H31" s="150"/>
      <c r="I31" s="150"/>
      <c r="J31" s="152" t="s">
        <v>370</v>
      </c>
      <c r="K31" s="150"/>
      <c r="L31" s="149" t="s">
        <v>371</v>
      </c>
      <c r="M31" s="149" t="s">
        <v>372</v>
      </c>
      <c r="N31" s="150"/>
      <c r="O31" s="150"/>
      <c r="P31" s="150"/>
      <c r="Q31" s="150"/>
    </row>
    <row r="32">
      <c r="A32" s="149" t="b">
        <v>0</v>
      </c>
      <c r="B32" s="150"/>
      <c r="C32" s="151" t="s">
        <v>205</v>
      </c>
      <c r="D32" s="150"/>
      <c r="F32" s="150"/>
      <c r="G32" s="153" t="s">
        <v>401</v>
      </c>
      <c r="H32" s="150"/>
      <c r="I32" s="150"/>
      <c r="J32" s="156" t="s">
        <v>402</v>
      </c>
      <c r="K32" s="150"/>
      <c r="L32" s="149"/>
      <c r="M32" s="149" t="s">
        <v>372</v>
      </c>
      <c r="N32" s="150"/>
      <c r="O32" s="150"/>
      <c r="P32" s="150"/>
      <c r="Q32" s="150"/>
    </row>
    <row r="33">
      <c r="A33" s="149" t="b">
        <v>0</v>
      </c>
      <c r="B33" s="150"/>
      <c r="C33" s="151" t="s">
        <v>205</v>
      </c>
      <c r="D33" s="150"/>
      <c r="F33" s="150"/>
      <c r="G33" s="153" t="s">
        <v>401</v>
      </c>
      <c r="H33" s="150"/>
      <c r="I33" s="150"/>
      <c r="J33" s="154" t="s">
        <v>403</v>
      </c>
      <c r="K33" s="150"/>
      <c r="L33" s="149"/>
      <c r="M33" s="149" t="s">
        <v>381</v>
      </c>
      <c r="N33" s="150"/>
      <c r="O33" s="150"/>
      <c r="P33" s="150"/>
      <c r="Q33" s="150"/>
    </row>
    <row r="34">
      <c r="A34" s="149" t="b">
        <v>0</v>
      </c>
      <c r="B34" s="150"/>
      <c r="C34" s="151" t="s">
        <v>205</v>
      </c>
      <c r="D34" s="150"/>
      <c r="F34" s="150"/>
      <c r="G34" s="153" t="s">
        <v>401</v>
      </c>
      <c r="H34" s="150"/>
      <c r="I34" s="150"/>
      <c r="J34" s="154" t="s">
        <v>404</v>
      </c>
      <c r="K34" s="150"/>
      <c r="L34" s="149"/>
      <c r="M34" s="149" t="s">
        <v>381</v>
      </c>
      <c r="N34" s="150"/>
      <c r="O34" s="150"/>
      <c r="P34" s="150"/>
      <c r="Q34" s="150"/>
    </row>
    <row r="35">
      <c r="A35" s="149"/>
      <c r="B35" s="150"/>
      <c r="C35" s="151"/>
      <c r="D35" s="150"/>
      <c r="E35" s="58"/>
      <c r="F35" s="150"/>
      <c r="G35" s="155" t="s">
        <v>405</v>
      </c>
      <c r="H35" s="150"/>
      <c r="I35" s="150"/>
      <c r="J35" s="152" t="s">
        <v>370</v>
      </c>
      <c r="K35" s="150"/>
      <c r="L35" s="149"/>
      <c r="M35" s="149"/>
      <c r="N35" s="150"/>
      <c r="O35" s="150"/>
      <c r="P35" s="150"/>
      <c r="Q35" s="150"/>
    </row>
    <row r="36">
      <c r="A36" s="149" t="b">
        <v>0</v>
      </c>
      <c r="B36" s="150"/>
      <c r="C36" s="151" t="s">
        <v>205</v>
      </c>
      <c r="D36" s="150"/>
      <c r="E36" s="58" t="s">
        <v>406</v>
      </c>
      <c r="F36" s="150"/>
      <c r="G36" s="153" t="s">
        <v>405</v>
      </c>
      <c r="H36" s="150"/>
      <c r="I36" s="150"/>
      <c r="J36" s="154" t="s">
        <v>407</v>
      </c>
      <c r="K36" s="150"/>
      <c r="L36" s="149"/>
      <c r="M36" s="149" t="s">
        <v>372</v>
      </c>
      <c r="N36" s="150"/>
      <c r="O36" s="150"/>
      <c r="P36" s="150"/>
      <c r="Q36" s="150"/>
    </row>
    <row r="37">
      <c r="A37" s="149" t="b">
        <v>0</v>
      </c>
      <c r="B37" s="150"/>
      <c r="C37" s="151" t="s">
        <v>205</v>
      </c>
      <c r="D37" s="150"/>
      <c r="E37" s="58" t="s">
        <v>406</v>
      </c>
      <c r="F37" s="150"/>
      <c r="G37" s="153" t="s">
        <v>405</v>
      </c>
      <c r="H37" s="150"/>
      <c r="I37" s="150"/>
      <c r="J37" s="154" t="s">
        <v>408</v>
      </c>
      <c r="K37" s="150"/>
      <c r="L37" s="149"/>
      <c r="M37" s="149" t="s">
        <v>381</v>
      </c>
      <c r="N37" s="150"/>
      <c r="O37" s="150"/>
      <c r="P37" s="150"/>
      <c r="Q37" s="150"/>
    </row>
    <row r="38">
      <c r="A38" s="149" t="b">
        <v>0</v>
      </c>
      <c r="B38" s="150"/>
      <c r="C38" s="151" t="s">
        <v>205</v>
      </c>
      <c r="D38" s="150"/>
      <c r="E38" s="58" t="s">
        <v>406</v>
      </c>
      <c r="F38" s="150"/>
      <c r="G38" s="153" t="s">
        <v>405</v>
      </c>
      <c r="H38" s="150"/>
      <c r="I38" s="150"/>
      <c r="J38" s="154" t="s">
        <v>409</v>
      </c>
      <c r="K38" s="150"/>
      <c r="L38" s="149"/>
      <c r="M38" s="149" t="s">
        <v>372</v>
      </c>
      <c r="N38" s="150"/>
      <c r="O38" s="150"/>
      <c r="P38" s="150"/>
      <c r="Q38" s="150"/>
    </row>
    <row r="39">
      <c r="A39" s="149"/>
      <c r="B39" s="150"/>
      <c r="C39" s="151"/>
      <c r="D39" s="150"/>
      <c r="E39" s="58"/>
      <c r="F39" s="150"/>
      <c r="G39" s="155" t="s">
        <v>410</v>
      </c>
      <c r="H39" s="150"/>
      <c r="I39" s="150"/>
      <c r="J39" s="152" t="s">
        <v>370</v>
      </c>
      <c r="K39" s="150"/>
      <c r="L39" s="149" t="s">
        <v>371</v>
      </c>
      <c r="M39" s="149" t="s">
        <v>372</v>
      </c>
      <c r="N39" s="150"/>
      <c r="O39" s="150"/>
      <c r="P39" s="150"/>
      <c r="Q39" s="150"/>
    </row>
    <row r="40">
      <c r="A40" s="149" t="b">
        <v>0</v>
      </c>
      <c r="B40" s="150"/>
      <c r="C40" s="151" t="s">
        <v>205</v>
      </c>
      <c r="D40" s="150"/>
      <c r="E40" s="58" t="s">
        <v>406</v>
      </c>
      <c r="F40" s="150"/>
      <c r="G40" s="153" t="s">
        <v>410</v>
      </c>
      <c r="H40" s="150"/>
      <c r="I40" s="150"/>
      <c r="J40" s="154" t="s">
        <v>411</v>
      </c>
      <c r="K40" s="150"/>
      <c r="L40" s="149"/>
      <c r="M40" s="149" t="s">
        <v>372</v>
      </c>
      <c r="N40" s="150"/>
      <c r="O40" s="150"/>
      <c r="P40" s="150"/>
      <c r="Q40" s="150"/>
    </row>
    <row r="41">
      <c r="A41" s="149" t="b">
        <v>0</v>
      </c>
      <c r="B41" s="150"/>
      <c r="C41" s="151" t="s">
        <v>205</v>
      </c>
      <c r="D41" s="150"/>
      <c r="E41" s="58" t="s">
        <v>406</v>
      </c>
      <c r="F41" s="150"/>
      <c r="G41" s="153" t="s">
        <v>410</v>
      </c>
      <c r="H41" s="150"/>
      <c r="I41" s="150"/>
      <c r="J41" s="154" t="s">
        <v>412</v>
      </c>
      <c r="K41" s="150"/>
      <c r="L41" s="149"/>
      <c r="M41" s="149" t="s">
        <v>381</v>
      </c>
      <c r="N41" s="150"/>
      <c r="O41" s="150"/>
      <c r="P41" s="150"/>
      <c r="Q41" s="150"/>
    </row>
    <row r="42">
      <c r="A42" s="149" t="b">
        <v>0</v>
      </c>
      <c r="B42" s="150"/>
      <c r="C42" s="151" t="s">
        <v>205</v>
      </c>
      <c r="D42" s="150"/>
      <c r="E42" s="58" t="s">
        <v>406</v>
      </c>
      <c r="F42" s="150"/>
      <c r="G42" s="153" t="s">
        <v>410</v>
      </c>
      <c r="H42" s="150"/>
      <c r="I42" s="150"/>
      <c r="J42" s="154" t="s">
        <v>413</v>
      </c>
      <c r="K42" s="150"/>
      <c r="L42" s="149"/>
      <c r="M42" s="149" t="s">
        <v>372</v>
      </c>
      <c r="N42" s="150"/>
      <c r="O42" s="150"/>
      <c r="P42" s="150"/>
      <c r="Q42" s="150"/>
    </row>
    <row r="43">
      <c r="A43" s="157" t="b">
        <v>1</v>
      </c>
      <c r="B43" s="150"/>
      <c r="C43" s="151" t="s">
        <v>414</v>
      </c>
      <c r="D43" s="150"/>
      <c r="E43" s="157" t="s">
        <v>126</v>
      </c>
      <c r="F43" s="150"/>
      <c r="G43" s="152" t="s">
        <v>240</v>
      </c>
      <c r="H43" s="150"/>
      <c r="I43" s="150"/>
      <c r="J43" s="152" t="s">
        <v>370</v>
      </c>
      <c r="K43" s="150"/>
      <c r="L43" s="149" t="s">
        <v>371</v>
      </c>
      <c r="M43" s="149" t="s">
        <v>372</v>
      </c>
      <c r="N43" s="157"/>
      <c r="O43" s="157"/>
      <c r="P43" s="150"/>
      <c r="Q43" s="150"/>
    </row>
    <row r="44">
      <c r="A44" s="157" t="b">
        <v>1</v>
      </c>
      <c r="B44" s="150"/>
      <c r="C44" s="151" t="s">
        <v>414</v>
      </c>
      <c r="D44" s="150"/>
      <c r="E44" s="157" t="s">
        <v>126</v>
      </c>
      <c r="F44" s="150"/>
      <c r="G44" s="158" t="s">
        <v>240</v>
      </c>
      <c r="H44" s="150"/>
      <c r="I44" s="150"/>
      <c r="J44" s="158" t="s">
        <v>415</v>
      </c>
      <c r="K44" s="150"/>
      <c r="L44" s="149"/>
      <c r="M44" s="149"/>
      <c r="N44" s="157"/>
      <c r="O44" s="157"/>
      <c r="P44" s="150"/>
      <c r="Q44" s="150"/>
    </row>
    <row r="45">
      <c r="A45" s="157" t="b">
        <v>1</v>
      </c>
      <c r="B45" s="150"/>
      <c r="C45" s="151" t="s">
        <v>414</v>
      </c>
      <c r="D45" s="150"/>
      <c r="E45" s="157" t="s">
        <v>126</v>
      </c>
      <c r="F45" s="150"/>
      <c r="G45" s="158" t="s">
        <v>240</v>
      </c>
      <c r="H45" s="150"/>
      <c r="I45" s="150"/>
      <c r="J45" s="158" t="s">
        <v>416</v>
      </c>
      <c r="K45" s="150"/>
      <c r="L45" s="149"/>
      <c r="M45" s="149"/>
      <c r="N45" s="157"/>
      <c r="O45" s="157"/>
      <c r="P45" s="150"/>
      <c r="Q45" s="150"/>
    </row>
    <row r="46">
      <c r="A46" s="157" t="b">
        <v>1</v>
      </c>
      <c r="B46" s="150"/>
      <c r="C46" s="151" t="s">
        <v>414</v>
      </c>
      <c r="D46" s="150"/>
      <c r="E46" s="157" t="s">
        <v>126</v>
      </c>
      <c r="F46" s="150"/>
      <c r="G46" s="158" t="s">
        <v>240</v>
      </c>
      <c r="H46" s="150"/>
      <c r="I46" s="150"/>
      <c r="J46" s="158" t="s">
        <v>417</v>
      </c>
      <c r="K46" s="150"/>
      <c r="L46" s="149"/>
      <c r="M46" s="149"/>
      <c r="N46" s="157"/>
      <c r="O46" s="157"/>
      <c r="P46" s="150"/>
      <c r="Q46" s="150"/>
    </row>
    <row r="47">
      <c r="A47" s="157" t="b">
        <v>1</v>
      </c>
      <c r="B47" s="150"/>
      <c r="C47" s="151" t="s">
        <v>414</v>
      </c>
      <c r="D47" s="150"/>
      <c r="E47" s="157" t="s">
        <v>126</v>
      </c>
      <c r="F47" s="150"/>
      <c r="G47" s="158" t="s">
        <v>240</v>
      </c>
      <c r="H47" s="150"/>
      <c r="I47" s="150"/>
      <c r="J47" s="158" t="s">
        <v>418</v>
      </c>
      <c r="K47" s="150"/>
      <c r="L47" s="149"/>
      <c r="M47" s="149"/>
      <c r="N47" s="157"/>
      <c r="O47" s="157"/>
      <c r="P47" s="150"/>
      <c r="Q47" s="150"/>
    </row>
    <row r="48">
      <c r="A48" s="157" t="b">
        <v>1</v>
      </c>
      <c r="B48" s="150"/>
      <c r="C48" s="151" t="s">
        <v>414</v>
      </c>
      <c r="D48" s="150"/>
      <c r="E48" s="157" t="s">
        <v>126</v>
      </c>
      <c r="F48" s="150"/>
      <c r="G48" s="158" t="s">
        <v>240</v>
      </c>
      <c r="H48" s="150"/>
      <c r="I48" s="150"/>
      <c r="J48" s="158" t="s">
        <v>419</v>
      </c>
      <c r="K48" s="150"/>
      <c r="L48" s="149"/>
      <c r="M48" s="149"/>
      <c r="N48" s="157"/>
      <c r="O48" s="157"/>
      <c r="P48" s="150"/>
      <c r="Q48" s="150"/>
    </row>
    <row r="49">
      <c r="A49" s="157" t="b">
        <v>1</v>
      </c>
      <c r="B49" s="150"/>
      <c r="C49" s="151" t="s">
        <v>414</v>
      </c>
      <c r="D49" s="150"/>
      <c r="E49" s="157" t="s">
        <v>126</v>
      </c>
      <c r="F49" s="150"/>
      <c r="G49" s="158" t="s">
        <v>240</v>
      </c>
      <c r="H49" s="150"/>
      <c r="I49" s="150"/>
      <c r="J49" s="158" t="s">
        <v>420</v>
      </c>
      <c r="K49" s="150"/>
      <c r="L49" s="149"/>
      <c r="M49" s="149"/>
      <c r="N49" s="157"/>
      <c r="O49" s="157"/>
      <c r="P49" s="150"/>
      <c r="Q49" s="150"/>
    </row>
    <row r="50">
      <c r="A50" s="157" t="b">
        <v>1</v>
      </c>
      <c r="B50" s="150"/>
      <c r="C50" s="151" t="s">
        <v>414</v>
      </c>
      <c r="D50" s="150"/>
      <c r="E50" s="157" t="s">
        <v>126</v>
      </c>
      <c r="F50" s="150"/>
      <c r="G50" s="152" t="s">
        <v>242</v>
      </c>
      <c r="H50" s="150"/>
      <c r="I50" s="150"/>
      <c r="J50" s="152" t="s">
        <v>370</v>
      </c>
      <c r="K50" s="150"/>
      <c r="L50" s="149" t="s">
        <v>371</v>
      </c>
      <c r="M50" s="149" t="s">
        <v>372</v>
      </c>
      <c r="N50" s="157"/>
      <c r="O50" s="157"/>
      <c r="P50" s="150"/>
      <c r="Q50" s="150"/>
    </row>
    <row r="51">
      <c r="A51" s="157" t="b">
        <v>1</v>
      </c>
      <c r="B51" s="150"/>
      <c r="C51" s="151" t="s">
        <v>414</v>
      </c>
      <c r="D51" s="150"/>
      <c r="E51" s="157" t="s">
        <v>126</v>
      </c>
      <c r="F51" s="150"/>
      <c r="G51" s="158" t="s">
        <v>242</v>
      </c>
      <c r="H51" s="150"/>
      <c r="I51" s="150"/>
      <c r="J51" s="158" t="s">
        <v>421</v>
      </c>
      <c r="K51" s="150"/>
      <c r="L51" s="149"/>
      <c r="M51" s="149"/>
      <c r="N51" s="157"/>
      <c r="O51" s="157"/>
      <c r="P51" s="150"/>
      <c r="Q51" s="150"/>
    </row>
    <row r="52">
      <c r="A52" s="157" t="b">
        <v>1</v>
      </c>
      <c r="B52" s="150"/>
      <c r="C52" s="151" t="s">
        <v>414</v>
      </c>
      <c r="D52" s="150"/>
      <c r="E52" s="157" t="s">
        <v>126</v>
      </c>
      <c r="F52" s="150"/>
      <c r="G52" s="158" t="s">
        <v>242</v>
      </c>
      <c r="H52" s="150"/>
      <c r="I52" s="150"/>
      <c r="J52" s="158" t="s">
        <v>422</v>
      </c>
      <c r="K52" s="150"/>
      <c r="L52" s="149"/>
      <c r="M52" s="149"/>
      <c r="N52" s="157"/>
      <c r="O52" s="157"/>
      <c r="P52" s="150"/>
      <c r="Q52" s="150"/>
    </row>
    <row r="53">
      <c r="A53" s="157" t="b">
        <v>1</v>
      </c>
      <c r="B53" s="150"/>
      <c r="C53" s="151" t="s">
        <v>414</v>
      </c>
      <c r="D53" s="150"/>
      <c r="E53" s="157" t="s">
        <v>126</v>
      </c>
      <c r="F53" s="150"/>
      <c r="G53" s="158" t="s">
        <v>242</v>
      </c>
      <c r="H53" s="150"/>
      <c r="I53" s="150"/>
      <c r="J53" s="158" t="s">
        <v>423</v>
      </c>
      <c r="K53" s="150"/>
      <c r="L53" s="149"/>
      <c r="M53" s="149"/>
      <c r="N53" s="157"/>
      <c r="O53" s="157"/>
      <c r="P53" s="150"/>
      <c r="Q53" s="150"/>
    </row>
    <row r="54">
      <c r="A54" s="157" t="b">
        <v>1</v>
      </c>
      <c r="B54" s="150"/>
      <c r="C54" s="151" t="s">
        <v>414</v>
      </c>
      <c r="D54" s="150"/>
      <c r="E54" s="157" t="s">
        <v>126</v>
      </c>
      <c r="F54" s="150"/>
      <c r="G54" s="158" t="s">
        <v>242</v>
      </c>
      <c r="H54" s="150"/>
      <c r="I54" s="150"/>
      <c r="J54" s="158" t="s">
        <v>424</v>
      </c>
      <c r="K54" s="150"/>
      <c r="L54" s="149"/>
      <c r="M54" s="149"/>
      <c r="N54" s="157"/>
      <c r="O54" s="157"/>
      <c r="P54" s="150"/>
      <c r="Q54" s="150"/>
    </row>
    <row r="55">
      <c r="A55" s="157" t="b">
        <v>1</v>
      </c>
      <c r="B55" s="150"/>
      <c r="C55" s="151" t="s">
        <v>414</v>
      </c>
      <c r="D55" s="150"/>
      <c r="E55" s="157" t="s">
        <v>126</v>
      </c>
      <c r="F55" s="150"/>
      <c r="G55" s="158" t="s">
        <v>242</v>
      </c>
      <c r="H55" s="150"/>
      <c r="I55" s="150"/>
      <c r="J55" s="158" t="s">
        <v>425</v>
      </c>
      <c r="K55" s="150"/>
      <c r="L55" s="149"/>
      <c r="M55" s="149"/>
      <c r="N55" s="157"/>
      <c r="O55" s="157"/>
      <c r="P55" s="150"/>
      <c r="Q55" s="150"/>
    </row>
    <row r="56">
      <c r="A56" s="157" t="b">
        <v>1</v>
      </c>
      <c r="B56" s="150"/>
      <c r="C56" s="151" t="s">
        <v>414</v>
      </c>
      <c r="D56" s="150"/>
      <c r="E56" s="157" t="s">
        <v>126</v>
      </c>
      <c r="F56" s="150"/>
      <c r="G56" s="158" t="s">
        <v>242</v>
      </c>
      <c r="H56" s="150"/>
      <c r="I56" s="150"/>
      <c r="J56" s="158" t="s">
        <v>426</v>
      </c>
      <c r="K56" s="150"/>
      <c r="L56" s="149"/>
      <c r="M56" s="149"/>
      <c r="N56" s="157"/>
      <c r="O56" s="157"/>
      <c r="P56" s="150"/>
      <c r="Q56" s="150"/>
    </row>
    <row r="57">
      <c r="A57" s="157" t="b">
        <v>1</v>
      </c>
      <c r="B57" s="150"/>
      <c r="C57" s="151" t="s">
        <v>414</v>
      </c>
      <c r="D57" s="150"/>
      <c r="E57" s="157" t="s">
        <v>126</v>
      </c>
      <c r="F57" s="150"/>
      <c r="G57" s="152" t="s">
        <v>244</v>
      </c>
      <c r="H57" s="150"/>
      <c r="I57" s="150"/>
      <c r="J57" s="152" t="s">
        <v>370</v>
      </c>
      <c r="K57" s="150"/>
      <c r="L57" s="149" t="s">
        <v>371</v>
      </c>
      <c r="M57" s="149" t="s">
        <v>372</v>
      </c>
      <c r="N57" s="157"/>
      <c r="O57" s="157"/>
      <c r="P57" s="150"/>
      <c r="Q57" s="150"/>
    </row>
    <row r="58">
      <c r="A58" s="157" t="b">
        <v>1</v>
      </c>
      <c r="B58" s="150"/>
      <c r="C58" s="151" t="s">
        <v>414</v>
      </c>
      <c r="D58" s="150"/>
      <c r="E58" s="157" t="s">
        <v>126</v>
      </c>
      <c r="F58" s="150"/>
      <c r="G58" s="158" t="s">
        <v>244</v>
      </c>
      <c r="H58" s="150"/>
      <c r="I58" s="150"/>
      <c r="J58" s="158" t="s">
        <v>427</v>
      </c>
      <c r="K58" s="150"/>
      <c r="L58" s="149"/>
      <c r="M58" s="149"/>
      <c r="N58" s="157"/>
      <c r="O58" s="157"/>
      <c r="P58" s="150"/>
      <c r="Q58" s="150"/>
    </row>
    <row r="59">
      <c r="A59" s="157" t="b">
        <v>1</v>
      </c>
      <c r="B59" s="150"/>
      <c r="C59" s="151" t="s">
        <v>414</v>
      </c>
      <c r="D59" s="150"/>
      <c r="E59" s="157" t="s">
        <v>126</v>
      </c>
      <c r="F59" s="150"/>
      <c r="G59" s="158" t="s">
        <v>244</v>
      </c>
      <c r="H59" s="150"/>
      <c r="I59" s="150"/>
      <c r="J59" s="158" t="s">
        <v>428</v>
      </c>
      <c r="K59" s="150"/>
      <c r="L59" s="149"/>
      <c r="M59" s="149"/>
      <c r="N59" s="157"/>
      <c r="O59" s="157"/>
      <c r="P59" s="150"/>
      <c r="Q59" s="150"/>
    </row>
    <row r="60">
      <c r="A60" s="157" t="b">
        <v>1</v>
      </c>
      <c r="B60" s="150"/>
      <c r="C60" s="151" t="s">
        <v>414</v>
      </c>
      <c r="D60" s="150"/>
      <c r="E60" s="157" t="s">
        <v>126</v>
      </c>
      <c r="F60" s="150"/>
      <c r="G60" s="158" t="s">
        <v>244</v>
      </c>
      <c r="H60" s="150"/>
      <c r="I60" s="150"/>
      <c r="J60" s="158" t="s">
        <v>429</v>
      </c>
      <c r="K60" s="150"/>
      <c r="L60" s="149"/>
      <c r="M60" s="149"/>
      <c r="N60" s="157"/>
      <c r="O60" s="157"/>
      <c r="P60" s="150"/>
      <c r="Q60" s="150"/>
    </row>
    <row r="61">
      <c r="A61" s="157" t="b">
        <v>1</v>
      </c>
      <c r="B61" s="150"/>
      <c r="C61" s="151" t="s">
        <v>414</v>
      </c>
      <c r="D61" s="150"/>
      <c r="E61" s="157" t="s">
        <v>126</v>
      </c>
      <c r="F61" s="150"/>
      <c r="G61" s="158" t="s">
        <v>244</v>
      </c>
      <c r="H61" s="150"/>
      <c r="I61" s="150"/>
      <c r="J61" s="158" t="s">
        <v>430</v>
      </c>
      <c r="K61" s="150"/>
      <c r="L61" s="149"/>
      <c r="M61" s="149"/>
      <c r="N61" s="157"/>
      <c r="O61" s="157"/>
      <c r="P61" s="150"/>
      <c r="Q61" s="150"/>
    </row>
    <row r="62">
      <c r="A62" s="157" t="b">
        <v>1</v>
      </c>
      <c r="B62" s="150"/>
      <c r="C62" s="151" t="s">
        <v>414</v>
      </c>
      <c r="D62" s="150"/>
      <c r="E62" s="157" t="s">
        <v>126</v>
      </c>
      <c r="F62" s="150"/>
      <c r="G62" s="158" t="s">
        <v>244</v>
      </c>
      <c r="H62" s="150"/>
      <c r="I62" s="150"/>
      <c r="J62" s="158" t="s">
        <v>431</v>
      </c>
      <c r="K62" s="150"/>
      <c r="L62" s="149"/>
      <c r="M62" s="149"/>
      <c r="N62" s="157"/>
      <c r="O62" s="157"/>
      <c r="P62" s="150"/>
      <c r="Q62" s="150"/>
    </row>
    <row r="63">
      <c r="A63" s="157" t="b">
        <v>1</v>
      </c>
      <c r="B63" s="150"/>
      <c r="C63" s="151" t="s">
        <v>414</v>
      </c>
      <c r="D63" s="150"/>
      <c r="E63" s="157" t="s">
        <v>126</v>
      </c>
      <c r="F63" s="150"/>
      <c r="G63" s="158" t="s">
        <v>244</v>
      </c>
      <c r="H63" s="150"/>
      <c r="I63" s="150"/>
      <c r="J63" s="158" t="s">
        <v>432</v>
      </c>
      <c r="K63" s="150"/>
      <c r="L63" s="149"/>
      <c r="M63" s="149"/>
      <c r="N63" s="157"/>
      <c r="O63" s="157"/>
      <c r="P63" s="150"/>
      <c r="Q63" s="150"/>
    </row>
    <row r="64">
      <c r="A64" s="157" t="b">
        <v>1</v>
      </c>
      <c r="B64" s="150"/>
      <c r="C64" s="151" t="s">
        <v>414</v>
      </c>
      <c r="D64" s="150"/>
      <c r="E64" s="157" t="s">
        <v>126</v>
      </c>
      <c r="F64" s="150"/>
      <c r="G64" s="152" t="s">
        <v>246</v>
      </c>
      <c r="H64" s="150"/>
      <c r="I64" s="150"/>
      <c r="J64" s="152" t="s">
        <v>370</v>
      </c>
      <c r="K64" s="150"/>
      <c r="L64" s="149" t="s">
        <v>371</v>
      </c>
      <c r="M64" s="149" t="s">
        <v>372</v>
      </c>
      <c r="N64" s="157"/>
      <c r="O64" s="157"/>
      <c r="P64" s="150"/>
      <c r="Q64" s="150"/>
    </row>
    <row r="65">
      <c r="A65" s="157" t="b">
        <v>1</v>
      </c>
      <c r="B65" s="150"/>
      <c r="C65" s="151" t="s">
        <v>414</v>
      </c>
      <c r="D65" s="150"/>
      <c r="E65" s="157" t="s">
        <v>126</v>
      </c>
      <c r="F65" s="150"/>
      <c r="G65" s="158" t="s">
        <v>246</v>
      </c>
      <c r="H65" s="150"/>
      <c r="I65" s="150"/>
      <c r="J65" s="158" t="s">
        <v>433</v>
      </c>
      <c r="K65" s="150"/>
      <c r="L65" s="149"/>
      <c r="M65" s="149"/>
      <c r="N65" s="157"/>
      <c r="O65" s="157"/>
      <c r="P65" s="150"/>
      <c r="Q65" s="150"/>
    </row>
    <row r="66">
      <c r="A66" s="157" t="b">
        <v>1</v>
      </c>
      <c r="B66" s="150"/>
      <c r="C66" s="151" t="s">
        <v>414</v>
      </c>
      <c r="D66" s="150"/>
      <c r="E66" s="157" t="s">
        <v>126</v>
      </c>
      <c r="F66" s="150"/>
      <c r="G66" s="158" t="s">
        <v>246</v>
      </c>
      <c r="H66" s="150"/>
      <c r="I66" s="150"/>
      <c r="J66" s="158" t="s">
        <v>434</v>
      </c>
      <c r="K66" s="150"/>
      <c r="L66" s="149"/>
      <c r="M66" s="149"/>
      <c r="N66" s="157"/>
      <c r="O66" s="157"/>
      <c r="P66" s="150"/>
      <c r="Q66" s="150"/>
    </row>
    <row r="67">
      <c r="A67" s="157" t="b">
        <v>1</v>
      </c>
      <c r="B67" s="150"/>
      <c r="C67" s="151" t="s">
        <v>414</v>
      </c>
      <c r="D67" s="150"/>
      <c r="E67" s="157" t="s">
        <v>126</v>
      </c>
      <c r="F67" s="150"/>
      <c r="G67" s="158" t="s">
        <v>246</v>
      </c>
      <c r="H67" s="150"/>
      <c r="I67" s="150"/>
      <c r="J67" s="158" t="s">
        <v>435</v>
      </c>
      <c r="K67" s="150"/>
      <c r="L67" s="149"/>
      <c r="M67" s="149"/>
      <c r="N67" s="157"/>
      <c r="O67" s="157"/>
      <c r="P67" s="150"/>
      <c r="Q67" s="150"/>
    </row>
    <row r="68">
      <c r="A68" s="157" t="b">
        <v>1</v>
      </c>
      <c r="B68" s="150"/>
      <c r="C68" s="151" t="s">
        <v>414</v>
      </c>
      <c r="D68" s="150"/>
      <c r="E68" s="157" t="s">
        <v>126</v>
      </c>
      <c r="F68" s="150"/>
      <c r="G68" s="158" t="s">
        <v>246</v>
      </c>
      <c r="H68" s="150"/>
      <c r="I68" s="150"/>
      <c r="J68" s="158" t="s">
        <v>436</v>
      </c>
      <c r="K68" s="150"/>
      <c r="L68" s="149"/>
      <c r="M68" s="149"/>
      <c r="N68" s="157"/>
      <c r="O68" s="157"/>
      <c r="P68" s="150"/>
      <c r="Q68" s="150"/>
    </row>
    <row r="69">
      <c r="A69" s="157" t="b">
        <v>1</v>
      </c>
      <c r="B69" s="150"/>
      <c r="C69" s="151" t="s">
        <v>414</v>
      </c>
      <c r="D69" s="150"/>
      <c r="E69" s="157" t="s">
        <v>126</v>
      </c>
      <c r="F69" s="150"/>
      <c r="G69" s="158" t="s">
        <v>246</v>
      </c>
      <c r="H69" s="150"/>
      <c r="I69" s="150"/>
      <c r="J69" s="158" t="s">
        <v>437</v>
      </c>
      <c r="K69" s="150"/>
      <c r="L69" s="149"/>
      <c r="M69" s="149"/>
      <c r="N69" s="157"/>
      <c r="O69" s="157"/>
      <c r="P69" s="150"/>
      <c r="Q69" s="150"/>
    </row>
    <row r="70">
      <c r="A70" s="157" t="b">
        <v>1</v>
      </c>
      <c r="B70" s="150"/>
      <c r="C70" s="151" t="s">
        <v>414</v>
      </c>
      <c r="D70" s="150"/>
      <c r="E70" s="157" t="s">
        <v>126</v>
      </c>
      <c r="F70" s="150"/>
      <c r="G70" s="152" t="s">
        <v>248</v>
      </c>
      <c r="H70" s="150"/>
      <c r="I70" s="150"/>
      <c r="J70" s="152" t="s">
        <v>370</v>
      </c>
      <c r="K70" s="150"/>
      <c r="L70" s="149" t="s">
        <v>371</v>
      </c>
      <c r="M70" s="149" t="s">
        <v>372</v>
      </c>
      <c r="N70" s="157"/>
      <c r="O70" s="157"/>
      <c r="P70" s="150"/>
      <c r="Q70" s="150"/>
    </row>
    <row r="71">
      <c r="A71" s="157" t="b">
        <v>1</v>
      </c>
      <c r="B71" s="150"/>
      <c r="C71" s="151" t="s">
        <v>414</v>
      </c>
      <c r="D71" s="150"/>
      <c r="E71" s="157" t="s">
        <v>126</v>
      </c>
      <c r="F71" s="150"/>
      <c r="G71" s="158" t="s">
        <v>248</v>
      </c>
      <c r="H71" s="150"/>
      <c r="I71" s="150"/>
      <c r="J71" s="158" t="s">
        <v>438</v>
      </c>
      <c r="K71" s="150"/>
      <c r="L71" s="149"/>
      <c r="M71" s="149"/>
      <c r="N71" s="157"/>
      <c r="O71" s="157"/>
      <c r="P71" s="150"/>
      <c r="Q71" s="150"/>
    </row>
    <row r="72">
      <c r="A72" s="157" t="b">
        <v>1</v>
      </c>
      <c r="B72" s="150"/>
      <c r="C72" s="151" t="s">
        <v>414</v>
      </c>
      <c r="D72" s="150"/>
      <c r="E72" s="157" t="s">
        <v>126</v>
      </c>
      <c r="F72" s="150"/>
      <c r="G72" s="158" t="s">
        <v>248</v>
      </c>
      <c r="H72" s="150"/>
      <c r="I72" s="150"/>
      <c r="J72" s="158" t="s">
        <v>439</v>
      </c>
      <c r="K72" s="150"/>
      <c r="L72" s="149"/>
      <c r="M72" s="149"/>
      <c r="N72" s="157"/>
      <c r="O72" s="157"/>
      <c r="P72" s="150"/>
      <c r="Q72" s="150"/>
    </row>
    <row r="73">
      <c r="A73" s="157" t="b">
        <v>1</v>
      </c>
      <c r="B73" s="150"/>
      <c r="C73" s="151" t="s">
        <v>414</v>
      </c>
      <c r="D73" s="150"/>
      <c r="E73" s="157" t="s">
        <v>126</v>
      </c>
      <c r="F73" s="150"/>
      <c r="G73" s="158" t="s">
        <v>248</v>
      </c>
      <c r="H73" s="150"/>
      <c r="I73" s="150"/>
      <c r="J73" s="158" t="s">
        <v>440</v>
      </c>
      <c r="K73" s="150"/>
      <c r="L73" s="149"/>
      <c r="M73" s="149"/>
      <c r="N73" s="157"/>
      <c r="O73" s="157"/>
      <c r="P73" s="150"/>
      <c r="Q73" s="150"/>
    </row>
    <row r="74">
      <c r="A74" s="157" t="b">
        <v>1</v>
      </c>
      <c r="B74" s="150"/>
      <c r="C74" s="151" t="s">
        <v>414</v>
      </c>
      <c r="D74" s="150"/>
      <c r="E74" s="157" t="s">
        <v>126</v>
      </c>
      <c r="F74" s="150"/>
      <c r="G74" s="158" t="s">
        <v>248</v>
      </c>
      <c r="H74" s="150"/>
      <c r="I74" s="150"/>
      <c r="J74" s="158" t="s">
        <v>441</v>
      </c>
      <c r="K74" s="150"/>
      <c r="L74" s="149"/>
      <c r="M74" s="149"/>
      <c r="N74" s="157"/>
      <c r="O74" s="157"/>
      <c r="P74" s="150"/>
      <c r="Q74" s="150"/>
    </row>
    <row r="75">
      <c r="A75" s="157" t="b">
        <v>1</v>
      </c>
      <c r="B75" s="150"/>
      <c r="C75" s="151" t="s">
        <v>414</v>
      </c>
      <c r="D75" s="150"/>
      <c r="E75" s="157" t="s">
        <v>126</v>
      </c>
      <c r="F75" s="150"/>
      <c r="G75" s="158" t="s">
        <v>248</v>
      </c>
      <c r="H75" s="150"/>
      <c r="I75" s="150"/>
      <c r="J75" s="158" t="s">
        <v>442</v>
      </c>
      <c r="K75" s="150"/>
      <c r="L75" s="149"/>
      <c r="M75" s="149"/>
      <c r="N75" s="157"/>
      <c r="O75" s="157"/>
      <c r="P75" s="150"/>
      <c r="Q75" s="150"/>
    </row>
    <row r="76">
      <c r="A76" s="157" t="b">
        <v>1</v>
      </c>
      <c r="B76" s="150"/>
      <c r="C76" s="151" t="s">
        <v>414</v>
      </c>
      <c r="D76" s="150"/>
      <c r="E76" s="157" t="s">
        <v>126</v>
      </c>
      <c r="F76" s="150"/>
      <c r="G76" s="158" t="s">
        <v>248</v>
      </c>
      <c r="H76" s="150"/>
      <c r="I76" s="150"/>
      <c r="J76" s="158" t="s">
        <v>443</v>
      </c>
      <c r="K76" s="150"/>
      <c r="L76" s="149"/>
      <c r="M76" s="149"/>
      <c r="N76" s="157"/>
      <c r="O76" s="157"/>
      <c r="P76" s="150"/>
      <c r="Q76" s="150"/>
    </row>
    <row r="77">
      <c r="A77" s="157" t="b">
        <v>1</v>
      </c>
      <c r="B77" s="150"/>
      <c r="C77" s="151" t="s">
        <v>414</v>
      </c>
      <c r="D77" s="150"/>
      <c r="E77" s="157" t="s">
        <v>126</v>
      </c>
      <c r="F77" s="150"/>
      <c r="G77" s="158" t="s">
        <v>248</v>
      </c>
      <c r="H77" s="150"/>
      <c r="I77" s="150"/>
      <c r="J77" s="158" t="s">
        <v>444</v>
      </c>
      <c r="K77" s="150"/>
      <c r="L77" s="149"/>
      <c r="M77" s="149"/>
      <c r="N77" s="157"/>
      <c r="O77" s="157"/>
      <c r="P77" s="150"/>
      <c r="Q77" s="150"/>
    </row>
    <row r="78">
      <c r="A78" s="157" t="b">
        <v>1</v>
      </c>
      <c r="B78" s="150"/>
      <c r="C78" s="151" t="s">
        <v>414</v>
      </c>
      <c r="D78" s="150"/>
      <c r="E78" s="157" t="s">
        <v>126</v>
      </c>
      <c r="F78" s="150"/>
      <c r="G78" s="158" t="s">
        <v>248</v>
      </c>
      <c r="H78" s="150"/>
      <c r="I78" s="150"/>
      <c r="J78" s="158" t="s">
        <v>445</v>
      </c>
      <c r="K78" s="150"/>
      <c r="L78" s="149"/>
      <c r="M78" s="149"/>
      <c r="N78" s="157"/>
      <c r="O78" s="157"/>
      <c r="P78" s="150"/>
      <c r="Q78" s="150"/>
    </row>
    <row r="79">
      <c r="A79" s="157" t="b">
        <v>1</v>
      </c>
      <c r="B79" s="150"/>
      <c r="C79" s="151" t="s">
        <v>414</v>
      </c>
      <c r="D79" s="150"/>
      <c r="E79" s="157" t="s">
        <v>126</v>
      </c>
      <c r="F79" s="150"/>
      <c r="G79" s="158" t="s">
        <v>248</v>
      </c>
      <c r="H79" s="150"/>
      <c r="I79" s="150"/>
      <c r="J79" s="158" t="s">
        <v>446</v>
      </c>
      <c r="K79" s="150"/>
      <c r="L79" s="149"/>
      <c r="M79" s="149"/>
      <c r="N79" s="157"/>
      <c r="O79" s="157"/>
      <c r="P79" s="150"/>
      <c r="Q79" s="150"/>
    </row>
    <row r="80">
      <c r="A80" s="157" t="b">
        <v>1</v>
      </c>
      <c r="B80" s="150"/>
      <c r="C80" s="151" t="s">
        <v>414</v>
      </c>
      <c r="D80" s="150"/>
      <c r="E80" s="157" t="s">
        <v>126</v>
      </c>
      <c r="F80" s="150"/>
      <c r="G80" s="158" t="s">
        <v>248</v>
      </c>
      <c r="H80" s="150"/>
      <c r="I80" s="150"/>
      <c r="J80" s="158" t="s">
        <v>447</v>
      </c>
      <c r="K80" s="150"/>
      <c r="L80" s="149"/>
      <c r="M80" s="149"/>
      <c r="N80" s="157"/>
      <c r="O80" s="157"/>
      <c r="P80" s="150"/>
      <c r="Q80" s="150"/>
    </row>
    <row r="81">
      <c r="A81" s="157" t="b">
        <v>1</v>
      </c>
      <c r="B81" s="150"/>
      <c r="C81" s="151" t="s">
        <v>414</v>
      </c>
      <c r="D81" s="150"/>
      <c r="E81" s="157" t="s">
        <v>126</v>
      </c>
      <c r="F81" s="150"/>
      <c r="G81" s="152" t="s">
        <v>248</v>
      </c>
      <c r="H81" s="150"/>
      <c r="I81" s="150"/>
      <c r="J81" s="152" t="s">
        <v>370</v>
      </c>
      <c r="K81" s="150"/>
      <c r="L81" s="149" t="s">
        <v>371</v>
      </c>
      <c r="M81" s="149" t="s">
        <v>372</v>
      </c>
      <c r="N81" s="157"/>
      <c r="O81" s="157"/>
      <c r="P81" s="150"/>
      <c r="Q81" s="150"/>
    </row>
    <row r="82">
      <c r="A82" s="157" t="b">
        <v>1</v>
      </c>
      <c r="B82" s="150"/>
      <c r="C82" s="151" t="s">
        <v>414</v>
      </c>
      <c r="D82" s="150"/>
      <c r="E82" s="157" t="s">
        <v>126</v>
      </c>
      <c r="F82" s="150"/>
      <c r="G82" s="158" t="s">
        <v>250</v>
      </c>
      <c r="H82" s="150"/>
      <c r="I82" s="150"/>
      <c r="J82" s="158" t="s">
        <v>448</v>
      </c>
      <c r="K82" s="150"/>
      <c r="L82" s="149"/>
      <c r="M82" s="149"/>
      <c r="N82" s="157"/>
      <c r="O82" s="157"/>
      <c r="P82" s="150"/>
      <c r="Q82" s="150"/>
    </row>
    <row r="83">
      <c r="A83" s="157" t="b">
        <v>1</v>
      </c>
      <c r="B83" s="150"/>
      <c r="C83" s="151" t="s">
        <v>414</v>
      </c>
      <c r="D83" s="150"/>
      <c r="E83" s="157" t="s">
        <v>126</v>
      </c>
      <c r="F83" s="150"/>
      <c r="G83" s="158" t="s">
        <v>250</v>
      </c>
      <c r="H83" s="150"/>
      <c r="I83" s="150"/>
      <c r="J83" s="158" t="s">
        <v>449</v>
      </c>
      <c r="K83" s="150"/>
      <c r="L83" s="149"/>
      <c r="M83" s="149"/>
      <c r="N83" s="157"/>
      <c r="O83" s="159"/>
      <c r="P83" s="150"/>
      <c r="Q83" s="150"/>
    </row>
    <row r="84">
      <c r="A84" s="157" t="b">
        <v>1</v>
      </c>
      <c r="B84" s="150"/>
      <c r="C84" s="151" t="s">
        <v>414</v>
      </c>
      <c r="D84" s="150"/>
      <c r="E84" s="157" t="s">
        <v>126</v>
      </c>
      <c r="F84" s="150"/>
      <c r="G84" s="158" t="s">
        <v>250</v>
      </c>
      <c r="H84" s="150"/>
      <c r="I84" s="150"/>
      <c r="J84" s="158" t="s">
        <v>450</v>
      </c>
      <c r="K84" s="150"/>
      <c r="L84" s="149"/>
      <c r="M84" s="149"/>
      <c r="N84" s="157"/>
      <c r="O84" s="159"/>
      <c r="P84" s="150"/>
      <c r="Q84" s="150"/>
    </row>
    <row r="85">
      <c r="A85" s="157" t="b">
        <v>1</v>
      </c>
      <c r="B85" s="150"/>
      <c r="C85" s="151" t="s">
        <v>414</v>
      </c>
      <c r="D85" s="150"/>
      <c r="E85" s="157" t="s">
        <v>126</v>
      </c>
      <c r="F85" s="150"/>
      <c r="G85" s="158" t="s">
        <v>250</v>
      </c>
      <c r="H85" s="150"/>
      <c r="I85" s="150"/>
      <c r="J85" s="158" t="s">
        <v>451</v>
      </c>
      <c r="K85" s="150"/>
      <c r="L85" s="149"/>
      <c r="M85" s="149"/>
      <c r="N85" s="157"/>
      <c r="O85" s="159"/>
      <c r="P85" s="150"/>
      <c r="Q85" s="150"/>
    </row>
    <row r="86">
      <c r="A86" s="157" t="b">
        <v>1</v>
      </c>
      <c r="B86" s="150"/>
      <c r="C86" s="151" t="s">
        <v>414</v>
      </c>
      <c r="D86" s="150"/>
      <c r="E86" s="157" t="s">
        <v>126</v>
      </c>
      <c r="F86" s="150"/>
      <c r="G86" s="158" t="s">
        <v>250</v>
      </c>
      <c r="H86" s="150"/>
      <c r="I86" s="150"/>
      <c r="J86" s="158" t="s">
        <v>452</v>
      </c>
      <c r="K86" s="150"/>
      <c r="L86" s="149"/>
      <c r="M86" s="149"/>
      <c r="N86" s="157"/>
      <c r="O86" s="159"/>
      <c r="P86" s="150"/>
      <c r="Q86" s="150"/>
    </row>
    <row r="87">
      <c r="A87" s="157" t="b">
        <v>1</v>
      </c>
      <c r="B87" s="150"/>
      <c r="C87" s="151" t="s">
        <v>414</v>
      </c>
      <c r="D87" s="150"/>
      <c r="E87" s="157" t="s">
        <v>126</v>
      </c>
      <c r="F87" s="150"/>
      <c r="G87" s="152" t="s">
        <v>250</v>
      </c>
      <c r="H87" s="150"/>
      <c r="I87" s="150"/>
      <c r="J87" s="152" t="s">
        <v>370</v>
      </c>
      <c r="K87" s="150"/>
      <c r="L87" s="149" t="s">
        <v>371</v>
      </c>
      <c r="M87" s="149" t="s">
        <v>372</v>
      </c>
      <c r="N87" s="157"/>
      <c r="O87" s="159"/>
      <c r="P87" s="150"/>
      <c r="Q87" s="150"/>
    </row>
    <row r="88">
      <c r="A88" s="157" t="b">
        <v>1</v>
      </c>
      <c r="B88" s="150"/>
      <c r="C88" s="151" t="s">
        <v>414</v>
      </c>
      <c r="D88" s="150"/>
      <c r="E88" s="157" t="s">
        <v>126</v>
      </c>
      <c r="F88" s="150"/>
      <c r="G88" s="158" t="s">
        <v>250</v>
      </c>
      <c r="H88" s="150"/>
      <c r="I88" s="150"/>
      <c r="J88" s="158" t="s">
        <v>453</v>
      </c>
      <c r="K88" s="150"/>
      <c r="L88" s="149"/>
      <c r="M88" s="149"/>
      <c r="N88" s="157"/>
      <c r="O88" s="159"/>
      <c r="P88" s="150"/>
      <c r="Q88" s="150"/>
    </row>
    <row r="89">
      <c r="A89" s="157" t="b">
        <v>1</v>
      </c>
      <c r="B89" s="150"/>
      <c r="C89" s="151" t="s">
        <v>414</v>
      </c>
      <c r="D89" s="150"/>
      <c r="E89" s="157" t="s">
        <v>126</v>
      </c>
      <c r="F89" s="150"/>
      <c r="G89" s="158" t="s">
        <v>250</v>
      </c>
      <c r="H89" s="150"/>
      <c r="I89" s="150"/>
      <c r="J89" s="158" t="s">
        <v>454</v>
      </c>
      <c r="K89" s="150"/>
      <c r="L89" s="149"/>
      <c r="M89" s="149"/>
      <c r="N89" s="157"/>
      <c r="O89" s="159"/>
      <c r="P89" s="150"/>
      <c r="Q89" s="150"/>
    </row>
    <row r="90">
      <c r="A90" s="157" t="b">
        <v>1</v>
      </c>
      <c r="B90" s="150"/>
      <c r="C90" s="151" t="s">
        <v>414</v>
      </c>
      <c r="D90" s="150"/>
      <c r="E90" s="157" t="s">
        <v>126</v>
      </c>
      <c r="F90" s="150"/>
      <c r="G90" s="158" t="s">
        <v>250</v>
      </c>
      <c r="H90" s="150"/>
      <c r="I90" s="150"/>
      <c r="J90" s="158" t="s">
        <v>455</v>
      </c>
      <c r="K90" s="150"/>
      <c r="L90" s="149"/>
      <c r="M90" s="149"/>
      <c r="N90" s="157"/>
      <c r="O90" s="159"/>
      <c r="P90" s="150"/>
      <c r="Q90" s="150"/>
    </row>
    <row r="91">
      <c r="A91" s="157" t="b">
        <v>1</v>
      </c>
      <c r="B91" s="150"/>
      <c r="C91" s="151" t="s">
        <v>414</v>
      </c>
      <c r="D91" s="150"/>
      <c r="E91" s="157" t="s">
        <v>126</v>
      </c>
      <c r="F91" s="150"/>
      <c r="G91" s="158" t="s">
        <v>250</v>
      </c>
      <c r="H91" s="150"/>
      <c r="I91" s="150"/>
      <c r="J91" s="158" t="s">
        <v>456</v>
      </c>
      <c r="K91" s="150"/>
      <c r="L91" s="149"/>
      <c r="M91" s="149"/>
      <c r="N91" s="157"/>
      <c r="O91" s="159"/>
      <c r="P91" s="150"/>
      <c r="Q91" s="150"/>
    </row>
    <row r="92">
      <c r="A92" s="157" t="b">
        <v>1</v>
      </c>
      <c r="B92" s="150"/>
      <c r="C92" s="151" t="s">
        <v>414</v>
      </c>
      <c r="D92" s="150"/>
      <c r="E92" s="157" t="s">
        <v>126</v>
      </c>
      <c r="F92" s="150"/>
      <c r="G92" s="158" t="s">
        <v>250</v>
      </c>
      <c r="H92" s="150"/>
      <c r="I92" s="150"/>
      <c r="J92" s="158" t="s">
        <v>457</v>
      </c>
      <c r="K92" s="150"/>
      <c r="L92" s="149"/>
      <c r="M92" s="149"/>
      <c r="N92" s="157"/>
      <c r="O92" s="159"/>
      <c r="P92" s="150"/>
      <c r="Q92" s="150"/>
    </row>
    <row r="93">
      <c r="A93" s="157" t="b">
        <v>1</v>
      </c>
      <c r="B93" s="150"/>
      <c r="C93" s="151" t="s">
        <v>414</v>
      </c>
      <c r="D93" s="150"/>
      <c r="E93" s="157" t="s">
        <v>126</v>
      </c>
      <c r="F93" s="150"/>
      <c r="G93" s="152" t="s">
        <v>250</v>
      </c>
      <c r="H93" s="150"/>
      <c r="I93" s="150"/>
      <c r="J93" s="152" t="s">
        <v>370</v>
      </c>
      <c r="K93" s="150"/>
      <c r="L93" s="149" t="s">
        <v>371</v>
      </c>
      <c r="M93" s="149" t="s">
        <v>372</v>
      </c>
      <c r="N93" s="157"/>
      <c r="O93" s="159"/>
      <c r="P93" s="150"/>
      <c r="Q93" s="150"/>
    </row>
    <row r="94">
      <c r="A94" s="157" t="b">
        <v>1</v>
      </c>
      <c r="B94" s="150"/>
      <c r="C94" s="151" t="s">
        <v>414</v>
      </c>
      <c r="D94" s="150"/>
      <c r="E94" s="157" t="s">
        <v>126</v>
      </c>
      <c r="F94" s="150"/>
      <c r="G94" s="158" t="s">
        <v>250</v>
      </c>
      <c r="H94" s="150"/>
      <c r="I94" s="150"/>
      <c r="J94" s="158" t="s">
        <v>458</v>
      </c>
      <c r="K94" s="150"/>
      <c r="L94" s="149"/>
      <c r="M94" s="149"/>
      <c r="N94" s="157"/>
      <c r="O94" s="159"/>
      <c r="P94" s="150"/>
      <c r="Q94" s="150"/>
    </row>
    <row r="95">
      <c r="A95" s="157" t="b">
        <v>1</v>
      </c>
      <c r="B95" s="150"/>
      <c r="C95" s="151" t="s">
        <v>414</v>
      </c>
      <c r="D95" s="150"/>
      <c r="E95" s="157" t="s">
        <v>126</v>
      </c>
      <c r="F95" s="150"/>
      <c r="G95" s="158" t="s">
        <v>250</v>
      </c>
      <c r="H95" s="150"/>
      <c r="I95" s="150"/>
      <c r="J95" s="158" t="s">
        <v>459</v>
      </c>
      <c r="K95" s="150"/>
      <c r="L95" s="149"/>
      <c r="M95" s="149"/>
      <c r="N95" s="157"/>
      <c r="O95" s="159"/>
      <c r="P95" s="150"/>
      <c r="Q95" s="150"/>
    </row>
    <row r="96">
      <c r="A96" s="157" t="b">
        <v>1</v>
      </c>
      <c r="B96" s="150"/>
      <c r="C96" s="151" t="s">
        <v>414</v>
      </c>
      <c r="D96" s="150"/>
      <c r="E96" s="157" t="s">
        <v>126</v>
      </c>
      <c r="F96" s="150"/>
      <c r="G96" s="158" t="s">
        <v>250</v>
      </c>
      <c r="H96" s="150"/>
      <c r="I96" s="150"/>
      <c r="J96" s="158" t="s">
        <v>460</v>
      </c>
      <c r="K96" s="150"/>
      <c r="L96" s="149"/>
      <c r="M96" s="149"/>
      <c r="N96" s="157"/>
      <c r="O96" s="159"/>
      <c r="P96" s="150"/>
      <c r="Q96" s="150"/>
    </row>
    <row r="97">
      <c r="A97" s="157" t="b">
        <v>1</v>
      </c>
      <c r="B97" s="150"/>
      <c r="C97" s="151" t="s">
        <v>414</v>
      </c>
      <c r="D97" s="150"/>
      <c r="E97" s="157" t="s">
        <v>126</v>
      </c>
      <c r="F97" s="150"/>
      <c r="G97" s="158" t="s">
        <v>250</v>
      </c>
      <c r="H97" s="150"/>
      <c r="I97" s="150"/>
      <c r="J97" s="158" t="s">
        <v>461</v>
      </c>
      <c r="K97" s="150"/>
      <c r="L97" s="149"/>
      <c r="M97" s="149"/>
      <c r="N97" s="157"/>
      <c r="O97" s="159"/>
      <c r="P97" s="150"/>
      <c r="Q97" s="150"/>
    </row>
    <row r="98">
      <c r="A98" s="157" t="b">
        <v>1</v>
      </c>
      <c r="B98" s="150"/>
      <c r="C98" s="151" t="s">
        <v>414</v>
      </c>
      <c r="D98" s="150"/>
      <c r="E98" s="157" t="s">
        <v>126</v>
      </c>
      <c r="F98" s="150"/>
      <c r="G98" s="158" t="s">
        <v>250</v>
      </c>
      <c r="H98" s="150"/>
      <c r="I98" s="150"/>
      <c r="J98" s="158" t="s">
        <v>462</v>
      </c>
      <c r="K98" s="150"/>
      <c r="L98" s="149"/>
      <c r="M98" s="149"/>
      <c r="N98" s="157"/>
      <c r="O98" s="159"/>
      <c r="P98" s="150"/>
      <c r="Q98" s="150"/>
    </row>
    <row r="99">
      <c r="A99" s="157" t="b">
        <v>1</v>
      </c>
      <c r="B99" s="150"/>
      <c r="C99" s="151" t="s">
        <v>414</v>
      </c>
      <c r="D99" s="150"/>
      <c r="E99" s="157" t="s">
        <v>126</v>
      </c>
      <c r="F99" s="150"/>
      <c r="G99" s="152" t="s">
        <v>250</v>
      </c>
      <c r="H99" s="150"/>
      <c r="I99" s="150"/>
      <c r="J99" s="152" t="s">
        <v>370</v>
      </c>
      <c r="K99" s="150"/>
      <c r="L99" s="149" t="s">
        <v>371</v>
      </c>
      <c r="M99" s="149" t="s">
        <v>372</v>
      </c>
      <c r="N99" s="157"/>
      <c r="O99" s="159"/>
      <c r="P99" s="150"/>
      <c r="Q99" s="150"/>
    </row>
    <row r="100">
      <c r="A100" s="157" t="b">
        <v>1</v>
      </c>
      <c r="B100" s="150"/>
      <c r="C100" s="151" t="s">
        <v>414</v>
      </c>
      <c r="D100" s="150"/>
      <c r="E100" s="157" t="s">
        <v>126</v>
      </c>
      <c r="F100" s="150"/>
      <c r="G100" s="158" t="s">
        <v>250</v>
      </c>
      <c r="H100" s="150"/>
      <c r="I100" s="150"/>
      <c r="J100" s="158" t="s">
        <v>463</v>
      </c>
      <c r="K100" s="150"/>
      <c r="L100" s="149"/>
      <c r="M100" s="149"/>
      <c r="N100" s="157"/>
      <c r="O100" s="159"/>
      <c r="P100" s="150"/>
      <c r="Q100" s="150"/>
    </row>
    <row r="101">
      <c r="A101" s="157" t="b">
        <v>1</v>
      </c>
      <c r="B101" s="150"/>
      <c r="C101" s="151" t="s">
        <v>414</v>
      </c>
      <c r="D101" s="150"/>
      <c r="E101" s="157" t="s">
        <v>126</v>
      </c>
      <c r="F101" s="150"/>
      <c r="G101" s="158" t="s">
        <v>250</v>
      </c>
      <c r="H101" s="150"/>
      <c r="I101" s="150"/>
      <c r="J101" s="158" t="s">
        <v>464</v>
      </c>
      <c r="K101" s="150"/>
      <c r="L101" s="149"/>
      <c r="M101" s="149"/>
      <c r="N101" s="157"/>
      <c r="O101" s="159"/>
      <c r="P101" s="150"/>
      <c r="Q101" s="150"/>
    </row>
    <row r="102">
      <c r="A102" s="157" t="b">
        <v>1</v>
      </c>
      <c r="B102" s="150"/>
      <c r="C102" s="151" t="s">
        <v>414</v>
      </c>
      <c r="D102" s="150"/>
      <c r="E102" s="157" t="s">
        <v>126</v>
      </c>
      <c r="F102" s="150"/>
      <c r="G102" s="158" t="s">
        <v>250</v>
      </c>
      <c r="H102" s="150"/>
      <c r="I102" s="150"/>
      <c r="J102" s="158" t="s">
        <v>465</v>
      </c>
      <c r="K102" s="150"/>
      <c r="L102" s="149"/>
      <c r="M102" s="149"/>
      <c r="N102" s="157"/>
      <c r="O102" s="159"/>
      <c r="P102" s="150"/>
      <c r="Q102" s="150"/>
    </row>
    <row r="103">
      <c r="A103" s="157" t="b">
        <v>1</v>
      </c>
      <c r="B103" s="150"/>
      <c r="C103" s="151" t="s">
        <v>414</v>
      </c>
      <c r="D103" s="150"/>
      <c r="E103" s="157" t="s">
        <v>126</v>
      </c>
      <c r="F103" s="150"/>
      <c r="G103" s="158" t="s">
        <v>250</v>
      </c>
      <c r="H103" s="150"/>
      <c r="I103" s="150"/>
      <c r="J103" s="158" t="s">
        <v>466</v>
      </c>
      <c r="K103" s="150"/>
      <c r="L103" s="149"/>
      <c r="M103" s="149"/>
      <c r="N103" s="157"/>
      <c r="O103" s="159"/>
      <c r="P103" s="150"/>
      <c r="Q103" s="150"/>
    </row>
    <row r="104">
      <c r="A104" s="157" t="b">
        <v>1</v>
      </c>
      <c r="B104" s="150"/>
      <c r="C104" s="151" t="s">
        <v>414</v>
      </c>
      <c r="D104" s="150"/>
      <c r="E104" s="157" t="s">
        <v>126</v>
      </c>
      <c r="F104" s="150"/>
      <c r="G104" s="158" t="s">
        <v>250</v>
      </c>
      <c r="H104" s="150"/>
      <c r="I104" s="150"/>
      <c r="J104" s="158" t="s">
        <v>467</v>
      </c>
      <c r="K104" s="150"/>
      <c r="L104" s="149"/>
      <c r="M104" s="149"/>
      <c r="N104" s="157"/>
      <c r="O104" s="159"/>
      <c r="P104" s="150"/>
      <c r="Q104" s="150"/>
    </row>
    <row r="105">
      <c r="A105" s="157" t="b">
        <v>1</v>
      </c>
      <c r="B105" s="150"/>
      <c r="C105" s="151" t="s">
        <v>414</v>
      </c>
      <c r="D105" s="150"/>
      <c r="E105" s="157" t="s">
        <v>126</v>
      </c>
      <c r="F105" s="150"/>
      <c r="G105" s="152" t="s">
        <v>250</v>
      </c>
      <c r="H105" s="150"/>
      <c r="I105" s="150"/>
      <c r="J105" s="152" t="s">
        <v>370</v>
      </c>
      <c r="K105" s="150"/>
      <c r="L105" s="149" t="s">
        <v>371</v>
      </c>
      <c r="M105" s="149" t="s">
        <v>372</v>
      </c>
      <c r="N105" s="157"/>
      <c r="O105" s="159"/>
      <c r="P105" s="150"/>
      <c r="Q105" s="150"/>
    </row>
    <row r="106">
      <c r="A106" s="157" t="b">
        <v>1</v>
      </c>
      <c r="B106" s="150"/>
      <c r="C106" s="151" t="s">
        <v>414</v>
      </c>
      <c r="D106" s="150"/>
      <c r="E106" s="157" t="s">
        <v>126</v>
      </c>
      <c r="F106" s="150"/>
      <c r="G106" s="158" t="s">
        <v>250</v>
      </c>
      <c r="H106" s="150"/>
      <c r="I106" s="150"/>
      <c r="J106" s="158" t="s">
        <v>468</v>
      </c>
      <c r="K106" s="150"/>
      <c r="L106" s="149"/>
      <c r="M106" s="149"/>
      <c r="N106" s="157"/>
      <c r="O106" s="159"/>
      <c r="P106" s="150"/>
      <c r="Q106" s="150"/>
    </row>
    <row r="107">
      <c r="A107" s="157" t="b">
        <v>1</v>
      </c>
      <c r="B107" s="150"/>
      <c r="C107" s="151" t="s">
        <v>414</v>
      </c>
      <c r="D107" s="150"/>
      <c r="E107" s="157" t="s">
        <v>126</v>
      </c>
      <c r="F107" s="150"/>
      <c r="G107" s="158" t="s">
        <v>250</v>
      </c>
      <c r="H107" s="150"/>
      <c r="I107" s="150"/>
      <c r="J107" s="158" t="s">
        <v>469</v>
      </c>
      <c r="K107" s="150"/>
      <c r="L107" s="149"/>
      <c r="M107" s="149"/>
      <c r="N107" s="157"/>
      <c r="O107" s="159"/>
      <c r="P107" s="150"/>
      <c r="Q107" s="150"/>
    </row>
    <row r="108">
      <c r="A108" s="157" t="b">
        <v>1</v>
      </c>
      <c r="B108" s="150"/>
      <c r="C108" s="151" t="s">
        <v>414</v>
      </c>
      <c r="D108" s="150"/>
      <c r="E108" s="157" t="s">
        <v>126</v>
      </c>
      <c r="F108" s="150"/>
      <c r="G108" s="158" t="s">
        <v>250</v>
      </c>
      <c r="H108" s="150"/>
      <c r="I108" s="150"/>
      <c r="J108" s="158" t="s">
        <v>470</v>
      </c>
      <c r="K108" s="150"/>
      <c r="L108" s="149"/>
      <c r="M108" s="149"/>
      <c r="N108" s="157"/>
      <c r="O108" s="159"/>
      <c r="P108" s="150"/>
      <c r="Q108" s="150"/>
    </row>
    <row r="109">
      <c r="A109" s="157" t="b">
        <v>1</v>
      </c>
      <c r="B109" s="150"/>
      <c r="C109" s="151" t="s">
        <v>414</v>
      </c>
      <c r="D109" s="150"/>
      <c r="E109" s="157" t="s">
        <v>126</v>
      </c>
      <c r="F109" s="150"/>
      <c r="G109" s="158" t="s">
        <v>250</v>
      </c>
      <c r="H109" s="150"/>
      <c r="I109" s="150"/>
      <c r="J109" s="158" t="s">
        <v>471</v>
      </c>
      <c r="K109" s="150"/>
      <c r="L109" s="149"/>
      <c r="M109" s="149"/>
      <c r="N109" s="157"/>
      <c r="O109" s="159"/>
      <c r="P109" s="150"/>
      <c r="Q109" s="150"/>
    </row>
    <row r="110">
      <c r="A110" s="157" t="b">
        <v>1</v>
      </c>
      <c r="B110" s="150"/>
      <c r="C110" s="151" t="s">
        <v>414</v>
      </c>
      <c r="D110" s="150"/>
      <c r="E110" s="157" t="s">
        <v>126</v>
      </c>
      <c r="F110" s="150"/>
      <c r="G110" s="158" t="s">
        <v>250</v>
      </c>
      <c r="H110" s="150"/>
      <c r="I110" s="150"/>
      <c r="J110" s="158" t="s">
        <v>472</v>
      </c>
      <c r="K110" s="150"/>
      <c r="L110" s="149"/>
      <c r="M110" s="149"/>
      <c r="N110" s="157"/>
      <c r="O110" s="159"/>
      <c r="P110" s="150"/>
      <c r="Q110" s="150"/>
    </row>
    <row r="111">
      <c r="A111" s="157" t="b">
        <v>1</v>
      </c>
      <c r="B111" s="150"/>
      <c r="C111" s="151" t="s">
        <v>414</v>
      </c>
      <c r="D111" s="150"/>
      <c r="E111" s="157" t="s">
        <v>126</v>
      </c>
      <c r="F111" s="150"/>
      <c r="G111" s="158" t="s">
        <v>250</v>
      </c>
      <c r="H111" s="150"/>
      <c r="I111" s="150"/>
      <c r="J111" s="158" t="s">
        <v>473</v>
      </c>
      <c r="K111" s="150"/>
      <c r="L111" s="149"/>
      <c r="M111" s="149"/>
      <c r="N111" s="157"/>
      <c r="O111" s="159"/>
      <c r="P111" s="150"/>
      <c r="Q111" s="150"/>
    </row>
    <row r="112">
      <c r="A112" s="157" t="b">
        <v>1</v>
      </c>
      <c r="B112" s="150"/>
      <c r="C112" s="151" t="s">
        <v>414</v>
      </c>
      <c r="D112" s="150"/>
      <c r="E112" s="157" t="s">
        <v>126</v>
      </c>
      <c r="F112" s="150"/>
      <c r="G112" s="152" t="s">
        <v>250</v>
      </c>
      <c r="H112" s="150"/>
      <c r="I112" s="150"/>
      <c r="J112" s="152" t="s">
        <v>370</v>
      </c>
      <c r="K112" s="150"/>
      <c r="L112" s="149" t="s">
        <v>371</v>
      </c>
      <c r="M112" s="149" t="s">
        <v>372</v>
      </c>
      <c r="N112" s="157"/>
      <c r="O112" s="159"/>
      <c r="P112" s="150"/>
      <c r="Q112" s="150"/>
    </row>
    <row r="113">
      <c r="A113" s="157" t="b">
        <v>1</v>
      </c>
      <c r="B113" s="150"/>
      <c r="C113" s="151" t="s">
        <v>414</v>
      </c>
      <c r="D113" s="150"/>
      <c r="E113" s="157" t="s">
        <v>126</v>
      </c>
      <c r="F113" s="150"/>
      <c r="G113" s="158" t="s">
        <v>252</v>
      </c>
      <c r="H113" s="150"/>
      <c r="I113" s="150"/>
      <c r="J113" s="158" t="s">
        <v>474</v>
      </c>
      <c r="K113" s="150"/>
      <c r="L113" s="149"/>
      <c r="M113" s="149"/>
      <c r="N113" s="157"/>
      <c r="O113" s="159"/>
      <c r="P113" s="150"/>
      <c r="Q113" s="150"/>
    </row>
    <row r="114">
      <c r="A114" s="157" t="b">
        <v>1</v>
      </c>
      <c r="B114" s="150"/>
      <c r="C114" s="151" t="s">
        <v>414</v>
      </c>
      <c r="D114" s="150"/>
      <c r="E114" s="157" t="s">
        <v>126</v>
      </c>
      <c r="F114" s="150"/>
      <c r="G114" s="158" t="s">
        <v>252</v>
      </c>
      <c r="H114" s="150"/>
      <c r="I114" s="150"/>
      <c r="J114" s="158" t="s">
        <v>475</v>
      </c>
      <c r="K114" s="150"/>
      <c r="L114" s="149"/>
      <c r="M114" s="149"/>
      <c r="N114" s="157"/>
      <c r="O114" s="159"/>
      <c r="P114" s="150"/>
      <c r="Q114" s="150"/>
    </row>
    <row r="115">
      <c r="A115" s="157" t="b">
        <v>1</v>
      </c>
      <c r="B115" s="150"/>
      <c r="C115" s="151" t="s">
        <v>414</v>
      </c>
      <c r="D115" s="150"/>
      <c r="E115" s="157" t="s">
        <v>126</v>
      </c>
      <c r="F115" s="150"/>
      <c r="G115" s="158" t="s">
        <v>252</v>
      </c>
      <c r="H115" s="150"/>
      <c r="I115" s="150"/>
      <c r="J115" s="158" t="s">
        <v>476</v>
      </c>
      <c r="K115" s="150"/>
      <c r="L115" s="149"/>
      <c r="M115" s="149"/>
      <c r="N115" s="157"/>
      <c r="O115" s="159"/>
      <c r="P115" s="150"/>
      <c r="Q115" s="150"/>
    </row>
    <row r="116">
      <c r="A116" s="157" t="b">
        <v>1</v>
      </c>
      <c r="B116" s="150"/>
      <c r="C116" s="151" t="s">
        <v>414</v>
      </c>
      <c r="D116" s="150"/>
      <c r="E116" s="157" t="s">
        <v>126</v>
      </c>
      <c r="F116" s="150"/>
      <c r="G116" s="158" t="s">
        <v>252</v>
      </c>
      <c r="H116" s="150"/>
      <c r="I116" s="150"/>
      <c r="J116" s="158" t="s">
        <v>477</v>
      </c>
      <c r="K116" s="150"/>
      <c r="L116" s="149"/>
      <c r="M116" s="149"/>
      <c r="N116" s="157"/>
      <c r="O116" s="159"/>
      <c r="P116" s="150"/>
      <c r="Q116" s="150"/>
    </row>
    <row r="117">
      <c r="A117" s="157" t="b">
        <v>1</v>
      </c>
      <c r="B117" s="150"/>
      <c r="C117" s="151" t="s">
        <v>414</v>
      </c>
      <c r="D117" s="150"/>
      <c r="E117" s="157" t="s">
        <v>126</v>
      </c>
      <c r="F117" s="150"/>
      <c r="G117" s="158" t="s">
        <v>252</v>
      </c>
      <c r="H117" s="150"/>
      <c r="I117" s="150"/>
      <c r="J117" s="158" t="s">
        <v>478</v>
      </c>
      <c r="K117" s="150"/>
      <c r="L117" s="149"/>
      <c r="M117" s="149"/>
      <c r="N117" s="157"/>
      <c r="O117" s="159"/>
      <c r="P117" s="150"/>
      <c r="Q117" s="150"/>
    </row>
    <row r="118">
      <c r="A118" s="157" t="b">
        <v>1</v>
      </c>
      <c r="B118" s="150"/>
      <c r="C118" s="151" t="s">
        <v>414</v>
      </c>
      <c r="D118" s="150"/>
      <c r="E118" s="157" t="s">
        <v>126</v>
      </c>
      <c r="F118" s="150"/>
      <c r="G118" s="152" t="s">
        <v>252</v>
      </c>
      <c r="H118" s="150"/>
      <c r="I118" s="150"/>
      <c r="J118" s="158" t="s">
        <v>479</v>
      </c>
      <c r="K118" s="150"/>
      <c r="L118" s="149"/>
      <c r="M118" s="149"/>
      <c r="N118" s="157"/>
      <c r="O118" s="159"/>
      <c r="P118" s="150"/>
      <c r="Q118" s="150"/>
    </row>
    <row r="119">
      <c r="A119" s="157" t="b">
        <v>1</v>
      </c>
      <c r="B119" s="150"/>
      <c r="C119" s="151" t="s">
        <v>414</v>
      </c>
      <c r="D119" s="150"/>
      <c r="E119" s="157" t="s">
        <v>126</v>
      </c>
      <c r="F119" s="150"/>
      <c r="G119" s="158" t="s">
        <v>252</v>
      </c>
      <c r="H119" s="150"/>
      <c r="I119" s="150"/>
      <c r="J119" s="158" t="s">
        <v>480</v>
      </c>
      <c r="K119" s="150"/>
      <c r="L119" s="149"/>
      <c r="M119" s="149"/>
      <c r="N119" s="157"/>
      <c r="O119" s="159"/>
      <c r="P119" s="150"/>
      <c r="Q119" s="150"/>
    </row>
    <row r="120">
      <c r="A120" s="157" t="b">
        <v>1</v>
      </c>
      <c r="B120" s="150"/>
      <c r="C120" s="151" t="s">
        <v>414</v>
      </c>
      <c r="D120" s="150"/>
      <c r="E120" s="157" t="s">
        <v>126</v>
      </c>
      <c r="F120" s="150"/>
      <c r="G120" s="158" t="s">
        <v>252</v>
      </c>
      <c r="H120" s="150"/>
      <c r="I120" s="150"/>
      <c r="J120" s="158" t="s">
        <v>481</v>
      </c>
      <c r="K120" s="150"/>
      <c r="L120" s="149"/>
      <c r="M120" s="149"/>
      <c r="N120" s="157"/>
      <c r="O120" s="159"/>
      <c r="P120" s="150"/>
      <c r="Q120" s="150"/>
    </row>
    <row r="121">
      <c r="A121" s="157" t="b">
        <v>1</v>
      </c>
      <c r="B121" s="150"/>
      <c r="C121" s="151" t="s">
        <v>414</v>
      </c>
      <c r="D121" s="150"/>
      <c r="E121" s="157" t="s">
        <v>126</v>
      </c>
      <c r="F121" s="150"/>
      <c r="G121" s="158" t="s">
        <v>254</v>
      </c>
      <c r="H121" s="150"/>
      <c r="I121" s="150"/>
      <c r="J121" s="158" t="s">
        <v>482</v>
      </c>
      <c r="K121" s="150"/>
      <c r="L121" s="149"/>
      <c r="M121" s="149"/>
      <c r="N121" s="157"/>
      <c r="O121" s="159"/>
      <c r="P121" s="150"/>
      <c r="Q121" s="150"/>
    </row>
    <row r="122">
      <c r="A122" s="157" t="b">
        <v>1</v>
      </c>
      <c r="B122" s="150"/>
      <c r="C122" s="151" t="s">
        <v>414</v>
      </c>
      <c r="D122" s="150"/>
      <c r="E122" s="157" t="s">
        <v>126</v>
      </c>
      <c r="F122" s="150"/>
      <c r="G122" s="158" t="s">
        <v>254</v>
      </c>
      <c r="H122" s="150"/>
      <c r="I122" s="150"/>
      <c r="J122" s="158" t="s">
        <v>483</v>
      </c>
      <c r="K122" s="150"/>
      <c r="L122" s="149"/>
      <c r="M122" s="149"/>
      <c r="N122" s="157"/>
      <c r="O122" s="159"/>
      <c r="P122" s="150"/>
      <c r="Q122" s="150"/>
    </row>
    <row r="123">
      <c r="A123" s="157" t="b">
        <v>1</v>
      </c>
      <c r="B123" s="150"/>
      <c r="C123" s="151" t="s">
        <v>414</v>
      </c>
      <c r="D123" s="150"/>
      <c r="E123" s="157" t="s">
        <v>126</v>
      </c>
      <c r="F123" s="150"/>
      <c r="G123" s="152" t="s">
        <v>254</v>
      </c>
      <c r="H123" s="150"/>
      <c r="I123" s="150"/>
      <c r="J123" s="158" t="s">
        <v>484</v>
      </c>
      <c r="K123" s="150"/>
      <c r="L123" s="149"/>
      <c r="M123" s="149"/>
      <c r="N123" s="157"/>
      <c r="O123" s="159"/>
      <c r="P123" s="150"/>
      <c r="Q123" s="150"/>
    </row>
    <row r="124">
      <c r="A124" s="157" t="b">
        <v>1</v>
      </c>
      <c r="B124" s="150"/>
      <c r="C124" s="151" t="s">
        <v>414</v>
      </c>
      <c r="D124" s="150"/>
      <c r="E124" s="157" t="s">
        <v>126</v>
      </c>
      <c r="F124" s="150"/>
      <c r="G124" s="158" t="s">
        <v>254</v>
      </c>
      <c r="H124" s="150"/>
      <c r="I124" s="150"/>
      <c r="J124" s="158" t="s">
        <v>485</v>
      </c>
      <c r="K124" s="150"/>
      <c r="L124" s="149"/>
      <c r="M124" s="149"/>
      <c r="N124" s="157"/>
      <c r="O124" s="159"/>
      <c r="P124" s="150"/>
      <c r="Q124" s="150"/>
    </row>
    <row r="125">
      <c r="A125" s="157" t="b">
        <v>1</v>
      </c>
      <c r="B125" s="150"/>
      <c r="C125" s="151" t="s">
        <v>414</v>
      </c>
      <c r="D125" s="150"/>
      <c r="E125" s="157" t="s">
        <v>126</v>
      </c>
      <c r="F125" s="150"/>
      <c r="G125" s="158" t="s">
        <v>254</v>
      </c>
      <c r="H125" s="150"/>
      <c r="I125" s="150"/>
      <c r="J125" s="158" t="s">
        <v>486</v>
      </c>
      <c r="K125" s="150"/>
      <c r="L125" s="149"/>
      <c r="M125" s="149"/>
      <c r="N125" s="157"/>
      <c r="O125" s="159"/>
      <c r="P125" s="150"/>
      <c r="Q125" s="150"/>
    </row>
    <row r="126">
      <c r="A126" s="157" t="b">
        <v>1</v>
      </c>
      <c r="B126" s="150"/>
      <c r="C126" s="151" t="s">
        <v>414</v>
      </c>
      <c r="D126" s="150"/>
      <c r="E126" s="157" t="s">
        <v>126</v>
      </c>
      <c r="F126" s="150"/>
      <c r="G126" s="158" t="s">
        <v>254</v>
      </c>
      <c r="H126" s="150"/>
      <c r="I126" s="150"/>
      <c r="J126" s="158" t="s">
        <v>487</v>
      </c>
      <c r="K126" s="150"/>
      <c r="L126" s="149"/>
      <c r="M126" s="149"/>
      <c r="N126" s="157"/>
      <c r="O126" s="159"/>
      <c r="P126" s="150"/>
      <c r="Q126" s="150"/>
    </row>
    <row r="127">
      <c r="A127" s="157" t="b">
        <v>1</v>
      </c>
      <c r="B127" s="150"/>
      <c r="C127" s="151" t="s">
        <v>414</v>
      </c>
      <c r="D127" s="150"/>
      <c r="E127" s="157" t="s">
        <v>126</v>
      </c>
      <c r="F127" s="150"/>
      <c r="G127" s="158" t="s">
        <v>256</v>
      </c>
      <c r="H127" s="150"/>
      <c r="I127" s="150"/>
      <c r="J127" s="158" t="s">
        <v>488</v>
      </c>
      <c r="K127" s="150"/>
      <c r="L127" s="149"/>
      <c r="M127" s="149"/>
      <c r="N127" s="157"/>
      <c r="O127" s="159"/>
      <c r="P127" s="150"/>
      <c r="Q127" s="150"/>
    </row>
    <row r="128">
      <c r="A128" s="157" t="b">
        <v>1</v>
      </c>
      <c r="B128" s="150"/>
      <c r="C128" s="151" t="s">
        <v>414</v>
      </c>
      <c r="D128" s="150"/>
      <c r="E128" s="157" t="s">
        <v>126</v>
      </c>
      <c r="F128" s="150"/>
      <c r="G128" s="152" t="s">
        <v>256</v>
      </c>
      <c r="H128" s="150"/>
      <c r="I128" s="150"/>
      <c r="J128" s="158" t="s">
        <v>489</v>
      </c>
      <c r="K128" s="150"/>
      <c r="L128" s="149"/>
      <c r="M128" s="149"/>
      <c r="N128" s="157"/>
      <c r="O128" s="159"/>
      <c r="P128" s="150"/>
      <c r="Q128" s="150"/>
    </row>
    <row r="129">
      <c r="A129" s="157" t="b">
        <v>1</v>
      </c>
      <c r="B129" s="150"/>
      <c r="C129" s="151" t="s">
        <v>414</v>
      </c>
      <c r="D129" s="150"/>
      <c r="E129" s="157" t="s">
        <v>126</v>
      </c>
      <c r="F129" s="150"/>
      <c r="G129" s="158" t="s">
        <v>256</v>
      </c>
      <c r="H129" s="150"/>
      <c r="I129" s="150"/>
      <c r="J129" s="158" t="s">
        <v>490</v>
      </c>
      <c r="K129" s="150"/>
      <c r="L129" s="149"/>
      <c r="M129" s="149"/>
      <c r="N129" s="157"/>
      <c r="O129" s="159"/>
      <c r="P129" s="150"/>
      <c r="Q129" s="150"/>
    </row>
    <row r="130">
      <c r="A130" s="157" t="b">
        <v>1</v>
      </c>
      <c r="B130" s="150"/>
      <c r="C130" s="151" t="s">
        <v>414</v>
      </c>
      <c r="D130" s="150"/>
      <c r="E130" s="157" t="s">
        <v>126</v>
      </c>
      <c r="F130" s="150"/>
      <c r="G130" s="158" t="s">
        <v>256</v>
      </c>
      <c r="H130" s="150"/>
      <c r="I130" s="150"/>
      <c r="J130" s="158" t="s">
        <v>491</v>
      </c>
      <c r="K130" s="150"/>
      <c r="L130" s="149"/>
      <c r="M130" s="149"/>
      <c r="N130" s="157"/>
      <c r="O130" s="159"/>
      <c r="P130" s="150"/>
      <c r="Q130" s="150"/>
    </row>
    <row r="131">
      <c r="A131" s="157" t="b">
        <v>1</v>
      </c>
      <c r="B131" s="150"/>
      <c r="C131" s="151" t="s">
        <v>414</v>
      </c>
      <c r="D131" s="150"/>
      <c r="E131" s="157" t="s">
        <v>126</v>
      </c>
      <c r="F131" s="150"/>
      <c r="G131" s="158" t="s">
        <v>256</v>
      </c>
      <c r="H131" s="150"/>
      <c r="I131" s="150"/>
      <c r="J131" s="158" t="s">
        <v>492</v>
      </c>
      <c r="K131" s="150"/>
      <c r="L131" s="149"/>
      <c r="M131" s="149"/>
      <c r="N131" s="157"/>
      <c r="O131" s="159"/>
      <c r="P131" s="150"/>
      <c r="Q131" s="150"/>
    </row>
    <row r="132">
      <c r="A132" s="157" t="b">
        <v>1</v>
      </c>
      <c r="B132" s="150"/>
      <c r="C132" s="151" t="s">
        <v>414</v>
      </c>
      <c r="D132" s="150"/>
      <c r="E132" s="157" t="s">
        <v>126</v>
      </c>
      <c r="F132" s="150"/>
      <c r="G132" s="158" t="s">
        <v>256</v>
      </c>
      <c r="H132" s="150"/>
      <c r="I132" s="150"/>
      <c r="J132" s="158" t="s">
        <v>493</v>
      </c>
      <c r="K132" s="150"/>
      <c r="L132" s="149"/>
      <c r="M132" s="149"/>
      <c r="N132" s="157"/>
      <c r="O132" s="159"/>
      <c r="P132" s="150"/>
      <c r="Q132" s="150"/>
    </row>
    <row r="133">
      <c r="A133" s="157" t="b">
        <v>1</v>
      </c>
      <c r="B133" s="150"/>
      <c r="C133" s="151" t="s">
        <v>414</v>
      </c>
      <c r="D133" s="150"/>
      <c r="E133" s="157" t="s">
        <v>126</v>
      </c>
      <c r="F133" s="150"/>
      <c r="G133" s="152" t="s">
        <v>256</v>
      </c>
      <c r="H133" s="150"/>
      <c r="I133" s="150"/>
      <c r="J133" s="158" t="s">
        <v>494</v>
      </c>
      <c r="K133" s="150"/>
      <c r="L133" s="149"/>
      <c r="M133" s="149"/>
      <c r="N133" s="157"/>
      <c r="O133" s="159"/>
      <c r="P133" s="150"/>
      <c r="Q133" s="150"/>
    </row>
    <row r="134">
      <c r="A134" s="157" t="b">
        <v>1</v>
      </c>
      <c r="B134" s="150"/>
      <c r="C134" s="151" t="s">
        <v>414</v>
      </c>
      <c r="D134" s="150"/>
      <c r="E134" s="157" t="s">
        <v>126</v>
      </c>
      <c r="F134" s="150"/>
      <c r="G134" s="158" t="s">
        <v>258</v>
      </c>
      <c r="H134" s="150"/>
      <c r="I134" s="150"/>
      <c r="J134" s="158" t="s">
        <v>495</v>
      </c>
      <c r="K134" s="150"/>
      <c r="L134" s="149"/>
      <c r="M134" s="149"/>
      <c r="N134" s="157"/>
      <c r="O134" s="159"/>
      <c r="P134" s="150"/>
      <c r="Q134" s="150"/>
    </row>
    <row r="135">
      <c r="A135" s="157" t="b">
        <v>1</v>
      </c>
      <c r="B135" s="150"/>
      <c r="C135" s="151" t="s">
        <v>414</v>
      </c>
      <c r="D135" s="150"/>
      <c r="E135" s="157" t="s">
        <v>126</v>
      </c>
      <c r="F135" s="150"/>
      <c r="G135" s="158" t="s">
        <v>258</v>
      </c>
      <c r="H135" s="150"/>
      <c r="I135" s="150"/>
      <c r="J135" s="158" t="s">
        <v>496</v>
      </c>
      <c r="K135" s="150"/>
      <c r="L135" s="149"/>
      <c r="M135" s="149"/>
      <c r="N135" s="157"/>
      <c r="O135" s="159"/>
      <c r="P135" s="150"/>
      <c r="Q135" s="150"/>
    </row>
    <row r="136">
      <c r="A136" s="157" t="b">
        <v>1</v>
      </c>
      <c r="B136" s="150"/>
      <c r="C136" s="151" t="s">
        <v>414</v>
      </c>
      <c r="D136" s="150"/>
      <c r="E136" s="157" t="s">
        <v>126</v>
      </c>
      <c r="F136" s="150"/>
      <c r="G136" s="158" t="s">
        <v>258</v>
      </c>
      <c r="H136" s="150"/>
      <c r="I136" s="150"/>
      <c r="J136" s="158" t="s">
        <v>497</v>
      </c>
      <c r="K136" s="150"/>
      <c r="L136" s="149"/>
      <c r="M136" s="149"/>
      <c r="N136" s="157"/>
      <c r="O136" s="159"/>
      <c r="P136" s="150"/>
      <c r="Q136" s="150"/>
    </row>
    <row r="137">
      <c r="A137" s="157" t="b">
        <v>1</v>
      </c>
      <c r="B137" s="150"/>
      <c r="C137" s="151" t="s">
        <v>414</v>
      </c>
      <c r="D137" s="150"/>
      <c r="E137" s="157" t="s">
        <v>126</v>
      </c>
      <c r="F137" s="150"/>
      <c r="G137" s="158" t="s">
        <v>258</v>
      </c>
      <c r="H137" s="150"/>
      <c r="I137" s="150"/>
      <c r="J137" s="158" t="s">
        <v>498</v>
      </c>
      <c r="K137" s="150"/>
      <c r="L137" s="149"/>
      <c r="M137" s="149"/>
      <c r="N137" s="157"/>
      <c r="O137" s="159"/>
      <c r="P137" s="150"/>
      <c r="Q137" s="150"/>
    </row>
    <row r="138">
      <c r="A138" s="157" t="b">
        <v>1</v>
      </c>
      <c r="B138" s="150"/>
      <c r="C138" s="151" t="s">
        <v>414</v>
      </c>
      <c r="D138" s="150"/>
      <c r="E138" s="157" t="s">
        <v>126</v>
      </c>
      <c r="F138" s="150"/>
      <c r="G138" s="152" t="s">
        <v>258</v>
      </c>
      <c r="H138" s="150"/>
      <c r="I138" s="150"/>
      <c r="J138" s="158" t="s">
        <v>499</v>
      </c>
      <c r="K138" s="150"/>
      <c r="L138" s="149"/>
      <c r="M138" s="149"/>
      <c r="N138" s="157"/>
      <c r="O138" s="159"/>
      <c r="P138" s="150"/>
      <c r="Q138" s="150"/>
    </row>
    <row r="139">
      <c r="A139" s="157" t="b">
        <v>1</v>
      </c>
      <c r="B139" s="150"/>
      <c r="C139" s="151" t="s">
        <v>414</v>
      </c>
      <c r="D139" s="150"/>
      <c r="E139" s="157" t="s">
        <v>126</v>
      </c>
      <c r="F139" s="150"/>
      <c r="G139" s="158" t="s">
        <v>258</v>
      </c>
      <c r="H139" s="150"/>
      <c r="I139" s="150"/>
      <c r="J139" s="158" t="s">
        <v>500</v>
      </c>
      <c r="K139" s="150"/>
      <c r="L139" s="149"/>
      <c r="M139" s="149"/>
      <c r="N139" s="157"/>
      <c r="O139" s="159"/>
      <c r="P139" s="150"/>
      <c r="Q139" s="150"/>
    </row>
    <row r="140">
      <c r="A140" s="157" t="b">
        <v>1</v>
      </c>
      <c r="B140" s="150"/>
      <c r="C140" s="151" t="s">
        <v>414</v>
      </c>
      <c r="D140" s="150"/>
      <c r="E140" s="157" t="s">
        <v>126</v>
      </c>
      <c r="F140" s="150"/>
      <c r="G140" s="158" t="s">
        <v>258</v>
      </c>
      <c r="H140" s="150"/>
      <c r="I140" s="150"/>
      <c r="J140" s="158" t="s">
        <v>501</v>
      </c>
      <c r="K140" s="150"/>
      <c r="L140" s="149"/>
      <c r="M140" s="149"/>
      <c r="N140" s="157"/>
      <c r="O140" s="159"/>
      <c r="P140" s="150"/>
      <c r="Q140" s="150"/>
    </row>
    <row r="141">
      <c r="A141" s="157" t="b">
        <v>1</v>
      </c>
      <c r="B141" s="150"/>
      <c r="C141" s="151" t="s">
        <v>414</v>
      </c>
      <c r="D141" s="150"/>
      <c r="E141" s="157" t="s">
        <v>126</v>
      </c>
      <c r="F141" s="150"/>
      <c r="G141" s="158" t="s">
        <v>260</v>
      </c>
      <c r="H141" s="150"/>
      <c r="I141" s="150"/>
      <c r="J141" s="158" t="s">
        <v>502</v>
      </c>
      <c r="K141" s="150"/>
      <c r="L141" s="149"/>
      <c r="M141" s="149"/>
      <c r="N141" s="157"/>
      <c r="O141" s="159"/>
      <c r="P141" s="150"/>
      <c r="Q141" s="150"/>
    </row>
    <row r="142">
      <c r="A142" s="157" t="b">
        <v>1</v>
      </c>
      <c r="B142" s="150"/>
      <c r="C142" s="151" t="s">
        <v>414</v>
      </c>
      <c r="D142" s="150"/>
      <c r="E142" s="157" t="s">
        <v>126</v>
      </c>
      <c r="F142" s="150"/>
      <c r="G142" s="158" t="s">
        <v>260</v>
      </c>
      <c r="H142" s="150"/>
      <c r="I142" s="150"/>
      <c r="J142" s="158" t="s">
        <v>503</v>
      </c>
      <c r="K142" s="150"/>
      <c r="L142" s="149"/>
      <c r="M142" s="149"/>
      <c r="N142" s="157"/>
      <c r="O142" s="159"/>
      <c r="P142" s="150"/>
      <c r="Q142" s="150"/>
    </row>
    <row r="143">
      <c r="A143" s="157" t="b">
        <v>1</v>
      </c>
      <c r="B143" s="150"/>
      <c r="C143" s="151" t="s">
        <v>414</v>
      </c>
      <c r="D143" s="150"/>
      <c r="E143" s="157" t="s">
        <v>126</v>
      </c>
      <c r="F143" s="150"/>
      <c r="G143" s="152" t="s">
        <v>260</v>
      </c>
      <c r="H143" s="150"/>
      <c r="I143" s="150"/>
      <c r="J143" s="158" t="s">
        <v>504</v>
      </c>
      <c r="K143" s="150"/>
      <c r="L143" s="149"/>
      <c r="M143" s="149"/>
      <c r="N143" s="157"/>
      <c r="O143" s="159"/>
      <c r="P143" s="150"/>
      <c r="Q143" s="150"/>
    </row>
    <row r="144">
      <c r="A144" s="157" t="b">
        <v>1</v>
      </c>
      <c r="B144" s="150"/>
      <c r="C144" s="151" t="s">
        <v>414</v>
      </c>
      <c r="D144" s="150"/>
      <c r="E144" s="157" t="s">
        <v>126</v>
      </c>
      <c r="F144" s="150"/>
      <c r="G144" s="158" t="s">
        <v>260</v>
      </c>
      <c r="H144" s="150"/>
      <c r="I144" s="150"/>
      <c r="J144" s="158" t="s">
        <v>505</v>
      </c>
      <c r="K144" s="150"/>
      <c r="L144" s="149"/>
      <c r="M144" s="149"/>
      <c r="N144" s="157"/>
      <c r="O144" s="159"/>
      <c r="P144" s="150"/>
      <c r="Q144" s="150"/>
    </row>
    <row r="145">
      <c r="A145" s="157" t="b">
        <v>1</v>
      </c>
      <c r="B145" s="150"/>
      <c r="C145" s="151" t="s">
        <v>414</v>
      </c>
      <c r="D145" s="150"/>
      <c r="E145" s="157" t="s">
        <v>126</v>
      </c>
      <c r="F145" s="150"/>
      <c r="G145" s="158" t="s">
        <v>260</v>
      </c>
      <c r="H145" s="150"/>
      <c r="I145" s="150"/>
      <c r="J145" s="158" t="s">
        <v>506</v>
      </c>
      <c r="K145" s="150"/>
      <c r="L145" s="149"/>
      <c r="M145" s="149"/>
      <c r="N145" s="157"/>
      <c r="O145" s="159"/>
      <c r="P145" s="150"/>
      <c r="Q145" s="150"/>
    </row>
    <row r="146">
      <c r="A146" s="157" t="b">
        <v>1</v>
      </c>
      <c r="B146" s="150"/>
      <c r="C146" s="151" t="s">
        <v>414</v>
      </c>
      <c r="D146" s="150"/>
      <c r="E146" s="157" t="s">
        <v>126</v>
      </c>
      <c r="F146" s="150"/>
      <c r="G146" s="158" t="s">
        <v>260</v>
      </c>
      <c r="H146" s="150"/>
      <c r="I146" s="150"/>
      <c r="J146" s="158" t="s">
        <v>507</v>
      </c>
      <c r="K146" s="150"/>
      <c r="L146" s="149"/>
      <c r="M146" s="149"/>
      <c r="N146" s="157"/>
      <c r="O146" s="159"/>
      <c r="P146" s="150"/>
      <c r="Q146" s="150"/>
    </row>
    <row r="147">
      <c r="A147" s="157" t="b">
        <v>1</v>
      </c>
      <c r="B147" s="150"/>
      <c r="C147" s="151" t="s">
        <v>414</v>
      </c>
      <c r="D147" s="150"/>
      <c r="E147" s="157" t="s">
        <v>126</v>
      </c>
      <c r="F147" s="150"/>
      <c r="G147" s="158" t="s">
        <v>260</v>
      </c>
      <c r="H147" s="150"/>
      <c r="I147" s="150"/>
      <c r="J147" s="158" t="s">
        <v>508</v>
      </c>
      <c r="K147" s="150"/>
      <c r="L147" s="149"/>
      <c r="M147" s="149"/>
      <c r="N147" s="157"/>
      <c r="O147" s="159"/>
      <c r="P147" s="150"/>
      <c r="Q147" s="150"/>
    </row>
    <row r="148">
      <c r="A148" s="157" t="b">
        <v>1</v>
      </c>
      <c r="B148" s="150"/>
      <c r="C148" s="151" t="s">
        <v>414</v>
      </c>
      <c r="D148" s="150"/>
      <c r="E148" s="157" t="s">
        <v>126</v>
      </c>
      <c r="F148" s="150"/>
      <c r="G148" s="152" t="s">
        <v>262</v>
      </c>
      <c r="H148" s="150"/>
      <c r="I148" s="150"/>
      <c r="J148" s="158" t="s">
        <v>509</v>
      </c>
      <c r="K148" s="150"/>
      <c r="L148" s="149"/>
      <c r="M148" s="149"/>
      <c r="N148" s="157"/>
      <c r="O148" s="159"/>
      <c r="P148" s="150"/>
      <c r="Q148" s="150"/>
    </row>
    <row r="149">
      <c r="A149" s="157" t="b">
        <v>1</v>
      </c>
      <c r="B149" s="150"/>
      <c r="C149" s="151" t="s">
        <v>414</v>
      </c>
      <c r="D149" s="150"/>
      <c r="E149" s="157" t="s">
        <v>126</v>
      </c>
      <c r="F149" s="150"/>
      <c r="G149" s="158" t="s">
        <v>262</v>
      </c>
      <c r="H149" s="150"/>
      <c r="I149" s="150"/>
      <c r="J149" s="158" t="s">
        <v>510</v>
      </c>
      <c r="K149" s="150"/>
      <c r="L149" s="149"/>
      <c r="M149" s="149"/>
      <c r="N149" s="157"/>
      <c r="O149" s="159"/>
      <c r="P149" s="150"/>
      <c r="Q149" s="150"/>
    </row>
    <row r="150">
      <c r="A150" s="157" t="b">
        <v>1</v>
      </c>
      <c r="B150" s="150"/>
      <c r="C150" s="151" t="s">
        <v>414</v>
      </c>
      <c r="D150" s="150"/>
      <c r="E150" s="157" t="s">
        <v>126</v>
      </c>
      <c r="F150" s="150"/>
      <c r="G150" s="158" t="s">
        <v>262</v>
      </c>
      <c r="H150" s="150"/>
      <c r="I150" s="150"/>
      <c r="J150" s="158" t="s">
        <v>511</v>
      </c>
      <c r="K150" s="150"/>
      <c r="L150" s="149"/>
      <c r="M150" s="149"/>
      <c r="N150" s="157"/>
      <c r="O150" s="159"/>
      <c r="P150" s="150"/>
      <c r="Q150" s="150"/>
    </row>
    <row r="151">
      <c r="A151" s="157" t="b">
        <v>1</v>
      </c>
      <c r="B151" s="150"/>
      <c r="C151" s="151" t="s">
        <v>414</v>
      </c>
      <c r="D151" s="150"/>
      <c r="E151" s="157" t="s">
        <v>126</v>
      </c>
      <c r="F151" s="150"/>
      <c r="G151" s="158" t="s">
        <v>262</v>
      </c>
      <c r="H151" s="150"/>
      <c r="I151" s="150"/>
      <c r="J151" s="158" t="s">
        <v>512</v>
      </c>
      <c r="K151" s="150"/>
      <c r="L151" s="149"/>
      <c r="M151" s="149"/>
      <c r="N151" s="157"/>
      <c r="O151" s="159"/>
      <c r="P151" s="150"/>
      <c r="Q151" s="150"/>
    </row>
    <row r="152">
      <c r="A152" s="157" t="b">
        <v>1</v>
      </c>
      <c r="B152" s="150"/>
      <c r="C152" s="151" t="s">
        <v>414</v>
      </c>
      <c r="D152" s="150"/>
      <c r="E152" s="157" t="s">
        <v>126</v>
      </c>
      <c r="F152" s="150"/>
      <c r="G152" s="158" t="s">
        <v>262</v>
      </c>
      <c r="H152" s="150"/>
      <c r="I152" s="150"/>
      <c r="J152" s="158" t="s">
        <v>513</v>
      </c>
      <c r="K152" s="150"/>
      <c r="L152" s="149"/>
      <c r="M152" s="149"/>
      <c r="N152" s="157"/>
      <c r="O152" s="159"/>
      <c r="P152" s="150"/>
      <c r="Q152" s="150"/>
    </row>
    <row r="153">
      <c r="A153" s="157" t="b">
        <v>1</v>
      </c>
      <c r="B153" s="150"/>
      <c r="C153" s="151" t="s">
        <v>414</v>
      </c>
      <c r="D153" s="150"/>
      <c r="E153" s="157" t="s">
        <v>126</v>
      </c>
      <c r="F153" s="150"/>
      <c r="G153" s="152" t="s">
        <v>262</v>
      </c>
      <c r="H153" s="150"/>
      <c r="I153" s="150"/>
      <c r="J153" s="158" t="s">
        <v>514</v>
      </c>
      <c r="K153" s="150"/>
      <c r="L153" s="149"/>
      <c r="M153" s="149"/>
      <c r="N153" s="157"/>
      <c r="O153" s="159"/>
      <c r="P153" s="150"/>
      <c r="Q153" s="150"/>
    </row>
    <row r="154">
      <c r="A154" s="157" t="b">
        <v>1</v>
      </c>
      <c r="B154" s="150"/>
      <c r="C154" s="151" t="s">
        <v>414</v>
      </c>
      <c r="D154" s="150"/>
      <c r="E154" s="157" t="s">
        <v>126</v>
      </c>
      <c r="F154" s="150"/>
      <c r="G154" s="158" t="s">
        <v>264</v>
      </c>
      <c r="H154" s="150"/>
      <c r="I154" s="150"/>
      <c r="J154" s="158" t="s">
        <v>515</v>
      </c>
      <c r="K154" s="150"/>
      <c r="L154" s="149"/>
      <c r="M154" s="149"/>
      <c r="N154" s="157"/>
      <c r="O154" s="159"/>
      <c r="P154" s="150"/>
      <c r="Q154" s="150"/>
    </row>
    <row r="155">
      <c r="A155" s="157" t="b">
        <v>1</v>
      </c>
      <c r="B155" s="150"/>
      <c r="C155" s="151" t="s">
        <v>414</v>
      </c>
      <c r="D155" s="150"/>
      <c r="E155" s="157" t="s">
        <v>126</v>
      </c>
      <c r="F155" s="150"/>
      <c r="G155" s="158" t="s">
        <v>264</v>
      </c>
      <c r="H155" s="150"/>
      <c r="I155" s="150"/>
      <c r="J155" s="158" t="s">
        <v>516</v>
      </c>
      <c r="K155" s="150"/>
      <c r="L155" s="149"/>
      <c r="M155" s="149"/>
      <c r="N155" s="157"/>
      <c r="O155" s="159"/>
      <c r="P155" s="150"/>
      <c r="Q155" s="150"/>
    </row>
    <row r="156">
      <c r="A156" s="157" t="b">
        <v>1</v>
      </c>
      <c r="B156" s="150"/>
      <c r="C156" s="151" t="s">
        <v>414</v>
      </c>
      <c r="D156" s="150"/>
      <c r="E156" s="157" t="s">
        <v>126</v>
      </c>
      <c r="F156" s="150"/>
      <c r="G156" s="158" t="s">
        <v>264</v>
      </c>
      <c r="H156" s="150"/>
      <c r="I156" s="150"/>
      <c r="J156" s="158" t="s">
        <v>517</v>
      </c>
      <c r="K156" s="150"/>
      <c r="L156" s="149"/>
      <c r="M156" s="149"/>
      <c r="N156" s="157"/>
      <c r="O156" s="159"/>
      <c r="P156" s="150"/>
      <c r="Q156" s="150"/>
    </row>
    <row r="157">
      <c r="A157" s="157" t="b">
        <v>1</v>
      </c>
      <c r="B157" s="150"/>
      <c r="C157" s="151" t="s">
        <v>414</v>
      </c>
      <c r="D157" s="150"/>
      <c r="E157" s="157" t="s">
        <v>126</v>
      </c>
      <c r="F157" s="150"/>
      <c r="G157" s="158" t="s">
        <v>264</v>
      </c>
      <c r="H157" s="150"/>
      <c r="I157" s="150"/>
      <c r="J157" s="158" t="s">
        <v>518</v>
      </c>
      <c r="K157" s="150"/>
      <c r="L157" s="149"/>
      <c r="M157" s="149"/>
      <c r="N157" s="157"/>
      <c r="O157" s="159"/>
      <c r="P157" s="150"/>
      <c r="Q157" s="150"/>
    </row>
    <row r="158">
      <c r="A158" s="157" t="b">
        <v>1</v>
      </c>
      <c r="B158" s="150"/>
      <c r="C158" s="151" t="s">
        <v>414</v>
      </c>
      <c r="D158" s="150"/>
      <c r="E158" s="157" t="s">
        <v>126</v>
      </c>
      <c r="F158" s="150"/>
      <c r="G158" s="152" t="s">
        <v>264</v>
      </c>
      <c r="H158" s="150"/>
      <c r="I158" s="150"/>
      <c r="J158" s="158" t="s">
        <v>519</v>
      </c>
      <c r="K158" s="150"/>
      <c r="L158" s="149"/>
      <c r="M158" s="149"/>
      <c r="N158" s="157"/>
      <c r="O158" s="159"/>
      <c r="P158" s="150"/>
      <c r="Q158" s="150"/>
    </row>
    <row r="159">
      <c r="A159" s="157" t="b">
        <v>1</v>
      </c>
      <c r="B159" s="150"/>
      <c r="C159" s="151" t="s">
        <v>414</v>
      </c>
      <c r="D159" s="150"/>
      <c r="E159" s="157" t="s">
        <v>126</v>
      </c>
      <c r="F159" s="150"/>
      <c r="G159" s="158" t="s">
        <v>264</v>
      </c>
      <c r="H159" s="150"/>
      <c r="I159" s="150"/>
      <c r="J159" s="158" t="s">
        <v>520</v>
      </c>
      <c r="K159" s="150"/>
      <c r="L159" s="149"/>
      <c r="M159" s="149"/>
      <c r="N159" s="157"/>
      <c r="O159" s="159"/>
      <c r="P159" s="150"/>
      <c r="Q159" s="150"/>
    </row>
    <row r="160">
      <c r="A160" s="157" t="b">
        <v>1</v>
      </c>
      <c r="B160" s="150"/>
      <c r="C160" s="151" t="s">
        <v>414</v>
      </c>
      <c r="D160" s="150"/>
      <c r="E160" s="157" t="s">
        <v>126</v>
      </c>
      <c r="F160" s="150"/>
      <c r="G160" s="158" t="s">
        <v>266</v>
      </c>
      <c r="H160" s="150"/>
      <c r="I160" s="150"/>
      <c r="J160" s="158" t="s">
        <v>521</v>
      </c>
      <c r="K160" s="150"/>
      <c r="L160" s="149"/>
      <c r="M160" s="149"/>
      <c r="N160" s="157"/>
      <c r="O160" s="159"/>
      <c r="P160" s="150"/>
      <c r="Q160" s="150"/>
    </row>
    <row r="161">
      <c r="A161" s="157" t="b">
        <v>1</v>
      </c>
      <c r="B161" s="150"/>
      <c r="C161" s="151" t="s">
        <v>414</v>
      </c>
      <c r="D161" s="150"/>
      <c r="E161" s="157" t="s">
        <v>126</v>
      </c>
      <c r="F161" s="150"/>
      <c r="G161" s="158" t="s">
        <v>266</v>
      </c>
      <c r="H161" s="150"/>
      <c r="I161" s="150"/>
      <c r="J161" s="158" t="s">
        <v>522</v>
      </c>
      <c r="K161" s="150"/>
      <c r="L161" s="149"/>
      <c r="M161" s="149"/>
      <c r="N161" s="157"/>
      <c r="O161" s="159"/>
      <c r="P161" s="150"/>
      <c r="Q161" s="150"/>
    </row>
    <row r="162">
      <c r="A162" s="157" t="b">
        <v>1</v>
      </c>
      <c r="B162" s="150"/>
      <c r="C162" s="151" t="s">
        <v>414</v>
      </c>
      <c r="D162" s="150"/>
      <c r="E162" s="157" t="s">
        <v>126</v>
      </c>
      <c r="F162" s="150"/>
      <c r="G162" s="158" t="s">
        <v>266</v>
      </c>
      <c r="H162" s="150"/>
      <c r="I162" s="150"/>
      <c r="J162" s="158" t="s">
        <v>523</v>
      </c>
      <c r="K162" s="150"/>
      <c r="L162" s="149"/>
      <c r="M162" s="149"/>
      <c r="N162" s="157"/>
      <c r="O162" s="159"/>
      <c r="P162" s="150"/>
      <c r="Q162" s="150"/>
    </row>
    <row r="163">
      <c r="A163" s="157" t="b">
        <v>1</v>
      </c>
      <c r="B163" s="150"/>
      <c r="C163" s="151" t="s">
        <v>414</v>
      </c>
      <c r="D163" s="150"/>
      <c r="E163" s="157" t="s">
        <v>126</v>
      </c>
      <c r="F163" s="150"/>
      <c r="G163" s="152" t="s">
        <v>266</v>
      </c>
      <c r="H163" s="150"/>
      <c r="I163" s="150"/>
      <c r="J163" s="158" t="s">
        <v>524</v>
      </c>
      <c r="K163" s="150"/>
      <c r="L163" s="149"/>
      <c r="M163" s="149"/>
      <c r="N163" s="157"/>
      <c r="O163" s="159"/>
      <c r="P163" s="150"/>
      <c r="Q163" s="150"/>
    </row>
    <row r="164">
      <c r="A164" s="157" t="b">
        <v>1</v>
      </c>
      <c r="B164" s="150"/>
      <c r="C164" s="151" t="s">
        <v>414</v>
      </c>
      <c r="D164" s="150"/>
      <c r="E164" s="157" t="s">
        <v>126</v>
      </c>
      <c r="F164" s="150"/>
      <c r="G164" s="158" t="s">
        <v>266</v>
      </c>
      <c r="H164" s="150"/>
      <c r="I164" s="150"/>
      <c r="J164" s="158" t="s">
        <v>525</v>
      </c>
      <c r="K164" s="150"/>
      <c r="L164" s="149"/>
      <c r="M164" s="149"/>
      <c r="N164" s="157"/>
      <c r="O164" s="159"/>
      <c r="P164" s="150"/>
      <c r="Q164" s="150"/>
    </row>
    <row r="165">
      <c r="A165" s="157" t="b">
        <v>0</v>
      </c>
      <c r="B165" s="150"/>
      <c r="C165" s="151" t="s">
        <v>414</v>
      </c>
      <c r="D165" s="150"/>
      <c r="E165" s="160" t="s">
        <v>205</v>
      </c>
      <c r="F165" s="150"/>
      <c r="G165" s="160" t="s">
        <v>267</v>
      </c>
      <c r="H165" s="150"/>
      <c r="I165" s="150"/>
      <c r="J165" s="160"/>
      <c r="K165" s="150"/>
      <c r="L165" s="149"/>
      <c r="M165" s="149"/>
      <c r="N165" s="157"/>
      <c r="O165" s="161"/>
      <c r="P165" s="150"/>
      <c r="Q165" s="150"/>
    </row>
    <row r="166">
      <c r="A166" s="157" t="b">
        <v>0</v>
      </c>
      <c r="B166" s="150"/>
      <c r="C166" s="151" t="s">
        <v>414</v>
      </c>
      <c r="D166" s="150"/>
      <c r="E166" s="160" t="s">
        <v>205</v>
      </c>
      <c r="F166" s="150"/>
      <c r="G166" s="160" t="s">
        <v>268</v>
      </c>
      <c r="H166" s="150"/>
      <c r="I166" s="150"/>
      <c r="J166" s="160"/>
      <c r="K166" s="150"/>
      <c r="L166" s="149"/>
      <c r="M166" s="149"/>
      <c r="N166" s="157"/>
      <c r="O166" s="161"/>
      <c r="P166" s="150"/>
      <c r="Q166" s="150"/>
    </row>
    <row r="167">
      <c r="A167" s="157" t="b">
        <v>0</v>
      </c>
      <c r="B167" s="150"/>
      <c r="C167" s="151" t="s">
        <v>414</v>
      </c>
      <c r="D167" s="150"/>
      <c r="E167" s="162" t="s">
        <v>207</v>
      </c>
      <c r="F167" s="150"/>
      <c r="G167" s="160" t="s">
        <v>269</v>
      </c>
      <c r="H167" s="150"/>
      <c r="I167" s="150"/>
      <c r="J167" s="160" t="s">
        <v>526</v>
      </c>
      <c r="K167" s="150"/>
      <c r="L167" s="149"/>
      <c r="M167" s="149"/>
      <c r="N167" s="157"/>
      <c r="O167" s="161"/>
      <c r="P167" s="150"/>
      <c r="Q167" s="150"/>
    </row>
    <row r="168">
      <c r="A168" s="157" t="b">
        <v>0</v>
      </c>
      <c r="B168" s="150"/>
      <c r="C168" s="151" t="s">
        <v>414</v>
      </c>
      <c r="D168" s="150"/>
      <c r="E168" s="162" t="s">
        <v>207</v>
      </c>
      <c r="F168" s="150"/>
      <c r="G168" s="160" t="s">
        <v>269</v>
      </c>
      <c r="H168" s="150"/>
      <c r="I168" s="150"/>
      <c r="J168" s="160" t="s">
        <v>527</v>
      </c>
      <c r="K168" s="150"/>
      <c r="L168" s="149"/>
      <c r="M168" s="149"/>
      <c r="N168" s="157"/>
      <c r="O168" s="161"/>
      <c r="P168" s="150"/>
      <c r="Q168" s="150"/>
    </row>
    <row r="169">
      <c r="A169" s="157" t="b">
        <v>0</v>
      </c>
      <c r="B169" s="150"/>
      <c r="C169" s="151" t="s">
        <v>414</v>
      </c>
      <c r="D169" s="150"/>
      <c r="E169" s="162" t="s">
        <v>207</v>
      </c>
      <c r="F169" s="150"/>
      <c r="G169" s="160" t="s">
        <v>270</v>
      </c>
      <c r="H169" s="150"/>
      <c r="I169" s="150"/>
      <c r="J169" s="160"/>
      <c r="K169" s="150"/>
      <c r="L169" s="149"/>
      <c r="M169" s="149"/>
      <c r="N169" s="157"/>
      <c r="O169" s="161"/>
      <c r="P169" s="150"/>
      <c r="Q169" s="150"/>
    </row>
    <row r="170">
      <c r="A170" s="157" t="b">
        <v>0</v>
      </c>
      <c r="B170" s="150"/>
      <c r="C170" s="151" t="s">
        <v>414</v>
      </c>
      <c r="D170" s="150"/>
      <c r="E170" s="162" t="s">
        <v>207</v>
      </c>
      <c r="F170" s="150"/>
      <c r="G170" s="160" t="s">
        <v>271</v>
      </c>
      <c r="H170" s="150"/>
      <c r="I170" s="150"/>
      <c r="J170" s="160" t="s">
        <v>528</v>
      </c>
      <c r="K170" s="150"/>
      <c r="L170" s="149"/>
      <c r="M170" s="149"/>
      <c r="N170" s="157"/>
      <c r="O170" s="161"/>
      <c r="P170" s="150"/>
      <c r="Q170" s="150"/>
    </row>
    <row r="171">
      <c r="A171" s="157" t="b">
        <v>0</v>
      </c>
      <c r="B171" s="150"/>
      <c r="C171" s="151" t="s">
        <v>414</v>
      </c>
      <c r="D171" s="150"/>
      <c r="E171" s="162" t="s">
        <v>207</v>
      </c>
      <c r="F171" s="150"/>
      <c r="G171" s="160" t="s">
        <v>271</v>
      </c>
      <c r="H171" s="150"/>
      <c r="I171" s="150"/>
      <c r="J171" s="160" t="s">
        <v>529</v>
      </c>
      <c r="K171" s="150"/>
      <c r="L171" s="149"/>
      <c r="M171" s="149"/>
      <c r="N171" s="157"/>
      <c r="O171" s="161"/>
      <c r="P171" s="150"/>
      <c r="Q171" s="150"/>
    </row>
    <row r="172">
      <c r="A172" s="157" t="b">
        <v>0</v>
      </c>
      <c r="B172" s="150"/>
      <c r="C172" s="151" t="s">
        <v>414</v>
      </c>
      <c r="D172" s="150"/>
      <c r="E172" s="162" t="s">
        <v>207</v>
      </c>
      <c r="F172" s="150"/>
      <c r="G172" s="160" t="s">
        <v>271</v>
      </c>
      <c r="H172" s="150"/>
      <c r="I172" s="150"/>
      <c r="J172" s="160" t="s">
        <v>530</v>
      </c>
      <c r="K172" s="150"/>
      <c r="L172" s="149"/>
      <c r="M172" s="149"/>
      <c r="N172" s="157"/>
      <c r="O172" s="161"/>
      <c r="P172" s="150"/>
      <c r="Q172" s="150"/>
    </row>
    <row r="173">
      <c r="A173" s="157" t="b">
        <v>0</v>
      </c>
      <c r="B173" s="150"/>
      <c r="C173" s="151" t="s">
        <v>414</v>
      </c>
      <c r="D173" s="150"/>
      <c r="E173" s="162" t="s">
        <v>207</v>
      </c>
      <c r="F173" s="150"/>
      <c r="G173" s="160" t="s">
        <v>272</v>
      </c>
      <c r="H173" s="150"/>
      <c r="I173" s="150"/>
      <c r="J173" s="160" t="s">
        <v>531</v>
      </c>
      <c r="K173" s="150"/>
      <c r="L173" s="149"/>
      <c r="M173" s="149"/>
      <c r="N173" s="157"/>
      <c r="O173" s="161"/>
      <c r="P173" s="150"/>
      <c r="Q173" s="150"/>
    </row>
    <row r="174">
      <c r="A174" s="157" t="b">
        <v>0</v>
      </c>
      <c r="B174" s="150"/>
      <c r="C174" s="151" t="s">
        <v>414</v>
      </c>
      <c r="D174" s="150"/>
      <c r="E174" s="162" t="s">
        <v>207</v>
      </c>
      <c r="F174" s="150"/>
      <c r="G174" s="160" t="s">
        <v>272</v>
      </c>
      <c r="H174" s="150"/>
      <c r="I174" s="150"/>
      <c r="J174" s="160" t="s">
        <v>532</v>
      </c>
      <c r="K174" s="150"/>
      <c r="L174" s="149"/>
      <c r="M174" s="149"/>
      <c r="N174" s="157"/>
      <c r="O174" s="161"/>
      <c r="P174" s="150"/>
      <c r="Q174" s="150"/>
    </row>
    <row r="175">
      <c r="A175" s="157" t="b">
        <v>0</v>
      </c>
      <c r="B175" s="150"/>
      <c r="C175" s="151" t="s">
        <v>414</v>
      </c>
      <c r="D175" s="150"/>
      <c r="E175" s="162" t="s">
        <v>207</v>
      </c>
      <c r="F175" s="150"/>
      <c r="G175" s="160" t="s">
        <v>272</v>
      </c>
      <c r="H175" s="150"/>
      <c r="I175" s="150"/>
      <c r="J175" s="160" t="s">
        <v>533</v>
      </c>
      <c r="K175" s="150"/>
      <c r="L175" s="149"/>
      <c r="M175" s="149"/>
      <c r="N175" s="157"/>
      <c r="O175" s="161"/>
      <c r="P175" s="150"/>
      <c r="Q175" s="150"/>
    </row>
    <row r="176">
      <c r="A176" s="157" t="b">
        <v>0</v>
      </c>
      <c r="B176" s="150"/>
      <c r="C176" s="151" t="s">
        <v>414</v>
      </c>
      <c r="D176" s="150"/>
      <c r="E176" s="162" t="s">
        <v>207</v>
      </c>
      <c r="F176" s="150"/>
      <c r="G176" s="160" t="s">
        <v>273</v>
      </c>
      <c r="H176" s="150"/>
      <c r="I176" s="150"/>
      <c r="J176" s="160" t="s">
        <v>534</v>
      </c>
      <c r="K176" s="150"/>
      <c r="L176" s="149"/>
      <c r="M176" s="149"/>
      <c r="N176" s="157"/>
      <c r="O176" s="161"/>
      <c r="P176" s="150"/>
      <c r="Q176" s="150"/>
    </row>
    <row r="177">
      <c r="A177" s="157" t="b">
        <v>0</v>
      </c>
      <c r="B177" s="150"/>
      <c r="C177" s="151" t="s">
        <v>414</v>
      </c>
      <c r="D177" s="150"/>
      <c r="E177" s="162" t="s">
        <v>207</v>
      </c>
      <c r="F177" s="150"/>
      <c r="G177" s="160" t="s">
        <v>273</v>
      </c>
      <c r="H177" s="150"/>
      <c r="I177" s="150"/>
      <c r="J177" s="160" t="s">
        <v>535</v>
      </c>
      <c r="K177" s="150"/>
      <c r="L177" s="149"/>
      <c r="M177" s="149"/>
      <c r="N177" s="157"/>
      <c r="O177" s="161"/>
      <c r="P177" s="150"/>
      <c r="Q177" s="150"/>
    </row>
    <row r="178">
      <c r="A178" s="157" t="b">
        <v>0</v>
      </c>
      <c r="B178" s="150"/>
      <c r="C178" s="151" t="s">
        <v>414</v>
      </c>
      <c r="D178" s="150"/>
      <c r="E178" s="162" t="s">
        <v>207</v>
      </c>
      <c r="F178" s="150"/>
      <c r="G178" s="160" t="s">
        <v>273</v>
      </c>
      <c r="H178" s="150"/>
      <c r="I178" s="150"/>
      <c r="J178" s="160" t="s">
        <v>536</v>
      </c>
      <c r="K178" s="150"/>
      <c r="L178" s="149"/>
      <c r="M178" s="149"/>
      <c r="N178" s="157"/>
      <c r="O178" s="161"/>
      <c r="P178" s="150"/>
      <c r="Q178" s="150"/>
    </row>
    <row r="179">
      <c r="A179" s="157" t="b">
        <v>0</v>
      </c>
      <c r="B179" s="150"/>
      <c r="C179" s="151" t="s">
        <v>414</v>
      </c>
      <c r="D179" s="150"/>
      <c r="E179" s="162" t="s">
        <v>207</v>
      </c>
      <c r="F179" s="150"/>
      <c r="G179" s="160" t="s">
        <v>274</v>
      </c>
      <c r="H179" s="150"/>
      <c r="I179" s="150"/>
      <c r="J179" s="160"/>
      <c r="K179" s="150"/>
      <c r="L179" s="149"/>
      <c r="M179" s="149"/>
      <c r="N179" s="157"/>
      <c r="O179" s="161"/>
      <c r="P179" s="150"/>
      <c r="Q179" s="150"/>
    </row>
    <row r="180">
      <c r="A180" s="157" t="b">
        <v>0</v>
      </c>
      <c r="B180" s="150"/>
      <c r="C180" s="151" t="s">
        <v>414</v>
      </c>
      <c r="D180" s="150"/>
      <c r="E180" s="162" t="s">
        <v>207</v>
      </c>
      <c r="F180" s="150"/>
      <c r="G180" s="160" t="s">
        <v>274</v>
      </c>
      <c r="H180" s="150"/>
      <c r="I180" s="150"/>
      <c r="J180" s="160"/>
      <c r="K180" s="150"/>
      <c r="L180" s="149"/>
      <c r="M180" s="149"/>
      <c r="N180" s="157"/>
      <c r="O180" s="161"/>
      <c r="P180" s="150"/>
      <c r="Q180" s="150"/>
    </row>
    <row r="181">
      <c r="A181" s="157" t="b">
        <v>0</v>
      </c>
      <c r="B181" s="150"/>
      <c r="C181" s="151" t="s">
        <v>414</v>
      </c>
      <c r="D181" s="150"/>
      <c r="E181" s="162" t="s">
        <v>207</v>
      </c>
      <c r="F181" s="150"/>
      <c r="G181" s="160" t="s">
        <v>275</v>
      </c>
      <c r="H181" s="150"/>
      <c r="I181" s="150"/>
      <c r="J181" s="160" t="s">
        <v>537</v>
      </c>
      <c r="K181" s="150"/>
      <c r="L181" s="149"/>
      <c r="M181" s="149"/>
      <c r="N181" s="157"/>
      <c r="O181" s="161"/>
      <c r="P181" s="150"/>
      <c r="Q181" s="150"/>
    </row>
    <row r="182">
      <c r="A182" s="157" t="b">
        <v>0</v>
      </c>
      <c r="B182" s="150"/>
      <c r="C182" s="151" t="s">
        <v>414</v>
      </c>
      <c r="D182" s="150"/>
      <c r="E182" s="162" t="s">
        <v>207</v>
      </c>
      <c r="F182" s="150"/>
      <c r="G182" s="160" t="s">
        <v>275</v>
      </c>
      <c r="H182" s="150"/>
      <c r="I182" s="150"/>
      <c r="J182" s="160" t="s">
        <v>538</v>
      </c>
      <c r="K182" s="150"/>
      <c r="L182" s="149"/>
      <c r="M182" s="149"/>
      <c r="N182" s="157"/>
      <c r="O182" s="161"/>
      <c r="P182" s="150"/>
      <c r="Q182" s="150"/>
    </row>
    <row r="183">
      <c r="A183" s="157" t="b">
        <v>0</v>
      </c>
      <c r="B183" s="150"/>
      <c r="C183" s="151" t="s">
        <v>414</v>
      </c>
      <c r="D183" s="150"/>
      <c r="E183" s="162" t="s">
        <v>207</v>
      </c>
      <c r="F183" s="150"/>
      <c r="G183" s="160" t="s">
        <v>275</v>
      </c>
      <c r="H183" s="150"/>
      <c r="I183" s="150"/>
      <c r="J183" s="160" t="s">
        <v>539</v>
      </c>
      <c r="K183" s="150"/>
      <c r="L183" s="149"/>
      <c r="M183" s="149"/>
      <c r="N183" s="157"/>
      <c r="O183" s="161"/>
      <c r="P183" s="150"/>
      <c r="Q183" s="150"/>
    </row>
    <row r="184">
      <c r="A184" s="157" t="b">
        <v>0</v>
      </c>
      <c r="B184" s="150"/>
      <c r="C184" s="151" t="s">
        <v>414</v>
      </c>
      <c r="D184" s="150"/>
      <c r="E184" s="157" t="s">
        <v>124</v>
      </c>
      <c r="F184" s="150"/>
      <c r="G184" s="158" t="s">
        <v>276</v>
      </c>
      <c r="H184" s="150"/>
      <c r="I184" s="150"/>
      <c r="J184" s="158" t="s">
        <v>540</v>
      </c>
      <c r="K184" s="150"/>
      <c r="L184" s="149"/>
      <c r="M184" s="149"/>
      <c r="N184" s="157"/>
      <c r="O184" s="163" t="s">
        <v>541</v>
      </c>
      <c r="P184" s="150"/>
      <c r="Q184" s="150"/>
    </row>
    <row r="185">
      <c r="A185" s="157" t="b">
        <v>0</v>
      </c>
      <c r="B185" s="150"/>
      <c r="C185" s="151" t="s">
        <v>414</v>
      </c>
      <c r="D185" s="150"/>
      <c r="E185" s="160" t="s">
        <v>124</v>
      </c>
      <c r="F185" s="150"/>
      <c r="G185" s="160" t="s">
        <v>277</v>
      </c>
      <c r="H185" s="150"/>
      <c r="I185" s="150"/>
      <c r="J185" s="160"/>
      <c r="K185" s="150"/>
      <c r="L185" s="149"/>
      <c r="M185" s="149"/>
      <c r="N185" s="157"/>
      <c r="O185" s="161"/>
      <c r="P185" s="150"/>
      <c r="Q185" s="150"/>
    </row>
    <row r="186">
      <c r="A186" s="157" t="b">
        <v>0</v>
      </c>
      <c r="B186" s="150"/>
      <c r="C186" s="151" t="s">
        <v>414</v>
      </c>
      <c r="D186" s="150"/>
      <c r="E186" s="160" t="s">
        <v>124</v>
      </c>
      <c r="F186" s="150"/>
      <c r="G186" s="160" t="s">
        <v>278</v>
      </c>
      <c r="H186" s="150"/>
      <c r="I186" s="150"/>
      <c r="J186" s="160"/>
      <c r="K186" s="150"/>
      <c r="L186" s="149"/>
      <c r="M186" s="149"/>
      <c r="N186" s="157"/>
      <c r="O186" s="161"/>
      <c r="P186" s="150"/>
      <c r="Q186" s="150"/>
    </row>
    <row r="187">
      <c r="A187" s="157" t="b">
        <v>0</v>
      </c>
      <c r="B187" s="150"/>
      <c r="C187" s="151" t="s">
        <v>414</v>
      </c>
      <c r="D187" s="150"/>
      <c r="E187" s="160" t="s">
        <v>124</v>
      </c>
      <c r="F187" s="150"/>
      <c r="G187" s="160" t="s">
        <v>279</v>
      </c>
      <c r="H187" s="150"/>
      <c r="I187" s="150"/>
      <c r="J187" s="160"/>
      <c r="K187" s="150"/>
      <c r="L187" s="149"/>
      <c r="M187" s="149"/>
      <c r="N187" s="157"/>
      <c r="O187" s="161"/>
      <c r="P187" s="150"/>
      <c r="Q187" s="150"/>
    </row>
    <row r="188">
      <c r="A188" s="157" t="b">
        <v>0</v>
      </c>
      <c r="B188" s="150"/>
      <c r="C188" s="151" t="s">
        <v>414</v>
      </c>
      <c r="D188" s="150"/>
      <c r="E188" s="160" t="s">
        <v>124</v>
      </c>
      <c r="F188" s="150"/>
      <c r="G188" s="160" t="s">
        <v>280</v>
      </c>
      <c r="H188" s="150"/>
      <c r="I188" s="150"/>
      <c r="J188" s="160" t="s">
        <v>542</v>
      </c>
      <c r="K188" s="150"/>
      <c r="L188" s="149"/>
      <c r="M188" s="149"/>
      <c r="N188" s="157"/>
      <c r="O188" s="161"/>
      <c r="P188" s="150"/>
      <c r="Q188" s="150"/>
    </row>
    <row r="189">
      <c r="A189" s="157" t="b">
        <v>0</v>
      </c>
      <c r="B189" s="150"/>
      <c r="C189" s="151" t="s">
        <v>414</v>
      </c>
      <c r="D189" s="150"/>
      <c r="E189" s="160" t="s">
        <v>124</v>
      </c>
      <c r="F189" s="150"/>
      <c r="G189" s="160" t="s">
        <v>280</v>
      </c>
      <c r="H189" s="150"/>
      <c r="I189" s="150"/>
      <c r="J189" s="160" t="s">
        <v>543</v>
      </c>
      <c r="K189" s="150"/>
      <c r="L189" s="149"/>
      <c r="M189" s="149"/>
      <c r="N189" s="157"/>
      <c r="O189" s="161"/>
      <c r="P189" s="150"/>
      <c r="Q189" s="150"/>
    </row>
    <row r="190">
      <c r="A190" s="157" t="b">
        <v>0</v>
      </c>
      <c r="B190" s="150"/>
      <c r="C190" s="151" t="s">
        <v>414</v>
      </c>
      <c r="D190" s="150"/>
      <c r="E190" s="160" t="s">
        <v>124</v>
      </c>
      <c r="F190" s="150"/>
      <c r="G190" s="160" t="s">
        <v>280</v>
      </c>
      <c r="H190" s="150"/>
      <c r="I190" s="150"/>
      <c r="J190" s="160" t="s">
        <v>544</v>
      </c>
      <c r="K190" s="150"/>
      <c r="L190" s="149"/>
      <c r="M190" s="149"/>
      <c r="N190" s="157"/>
      <c r="O190" s="161"/>
      <c r="P190" s="150"/>
      <c r="Q190" s="150"/>
    </row>
    <row r="191">
      <c r="A191" s="157" t="b">
        <v>0</v>
      </c>
      <c r="B191" s="150"/>
      <c r="C191" s="151" t="s">
        <v>414</v>
      </c>
      <c r="D191" s="150"/>
      <c r="E191" s="160" t="s">
        <v>124</v>
      </c>
      <c r="F191" s="150"/>
      <c r="G191" s="160" t="s">
        <v>281</v>
      </c>
      <c r="H191" s="150"/>
      <c r="I191" s="150"/>
      <c r="J191" s="160"/>
      <c r="K191" s="150"/>
      <c r="L191" s="149"/>
      <c r="M191" s="149"/>
      <c r="N191" s="157"/>
      <c r="O191" s="161"/>
      <c r="P191" s="150"/>
      <c r="Q191" s="150"/>
    </row>
    <row r="192">
      <c r="A192" s="157" t="b">
        <v>0</v>
      </c>
      <c r="B192" s="150"/>
      <c r="C192" s="151" t="s">
        <v>414</v>
      </c>
      <c r="D192" s="150"/>
      <c r="E192" s="160" t="s">
        <v>124</v>
      </c>
      <c r="F192" s="150"/>
      <c r="G192" s="160" t="s">
        <v>282</v>
      </c>
      <c r="H192" s="150"/>
      <c r="I192" s="150"/>
      <c r="J192" s="160"/>
      <c r="K192" s="150"/>
      <c r="L192" s="149"/>
      <c r="M192" s="149"/>
      <c r="N192" s="157"/>
      <c r="O192" s="161"/>
      <c r="P192" s="150"/>
      <c r="Q192" s="150"/>
    </row>
    <row r="193">
      <c r="A193" s="157" t="b">
        <v>0</v>
      </c>
      <c r="B193" s="150"/>
      <c r="C193" s="151" t="s">
        <v>414</v>
      </c>
      <c r="D193" s="150"/>
      <c r="E193" s="160" t="s">
        <v>124</v>
      </c>
      <c r="F193" s="150"/>
      <c r="G193" s="160" t="s">
        <v>283</v>
      </c>
      <c r="H193" s="150"/>
      <c r="I193" s="150"/>
      <c r="J193" s="160"/>
      <c r="K193" s="150"/>
      <c r="L193" s="149"/>
      <c r="M193" s="149"/>
      <c r="N193" s="157"/>
      <c r="O193" s="161"/>
      <c r="P193" s="150"/>
      <c r="Q193" s="150"/>
    </row>
    <row r="194">
      <c r="A194" s="157" t="b">
        <v>0</v>
      </c>
      <c r="B194" s="150"/>
      <c r="C194" s="151" t="s">
        <v>414</v>
      </c>
      <c r="D194" s="150"/>
      <c r="E194" s="160" t="s">
        <v>124</v>
      </c>
      <c r="F194" s="150"/>
      <c r="G194" s="160" t="s">
        <v>284</v>
      </c>
      <c r="H194" s="150"/>
      <c r="I194" s="150"/>
      <c r="J194" s="160"/>
      <c r="K194" s="150"/>
      <c r="L194" s="149"/>
      <c r="M194" s="149"/>
      <c r="N194" s="157"/>
      <c r="O194" s="161"/>
      <c r="P194" s="150"/>
      <c r="Q194" s="150"/>
    </row>
    <row r="195">
      <c r="A195" s="157" t="b">
        <v>0</v>
      </c>
      <c r="B195" s="150"/>
      <c r="C195" s="151" t="s">
        <v>414</v>
      </c>
      <c r="D195" s="150"/>
      <c r="E195" s="160" t="s">
        <v>124</v>
      </c>
      <c r="F195" s="150"/>
      <c r="G195" s="160" t="s">
        <v>285</v>
      </c>
      <c r="H195" s="150"/>
      <c r="I195" s="150"/>
      <c r="J195" s="160" t="s">
        <v>545</v>
      </c>
      <c r="K195" s="150"/>
      <c r="L195" s="149"/>
      <c r="M195" s="149"/>
      <c r="N195" s="157"/>
      <c r="O195" s="161"/>
      <c r="P195" s="150"/>
      <c r="Q195" s="150"/>
    </row>
    <row r="196">
      <c r="A196" s="157" t="b">
        <v>0</v>
      </c>
      <c r="B196" s="150"/>
      <c r="C196" s="151" t="s">
        <v>414</v>
      </c>
      <c r="D196" s="150"/>
      <c r="E196" s="160" t="s">
        <v>124</v>
      </c>
      <c r="F196" s="150"/>
      <c r="G196" s="160" t="s">
        <v>285</v>
      </c>
      <c r="H196" s="150"/>
      <c r="I196" s="150"/>
      <c r="J196" s="160" t="s">
        <v>546</v>
      </c>
      <c r="K196" s="150"/>
      <c r="L196" s="149"/>
      <c r="M196" s="149"/>
      <c r="N196" s="157"/>
      <c r="O196" s="161"/>
      <c r="P196" s="150"/>
      <c r="Q196" s="150"/>
    </row>
    <row r="197">
      <c r="A197" s="157" t="b">
        <v>0</v>
      </c>
      <c r="B197" s="150"/>
      <c r="C197" s="151" t="s">
        <v>414</v>
      </c>
      <c r="D197" s="150"/>
      <c r="E197" s="160" t="s">
        <v>124</v>
      </c>
      <c r="F197" s="150"/>
      <c r="G197" s="160" t="s">
        <v>285</v>
      </c>
      <c r="H197" s="150"/>
      <c r="I197" s="150"/>
      <c r="J197" s="160" t="s">
        <v>547</v>
      </c>
      <c r="K197" s="150"/>
      <c r="L197" s="149"/>
      <c r="M197" s="149"/>
      <c r="N197" s="157"/>
      <c r="O197" s="161"/>
      <c r="P197" s="150"/>
      <c r="Q197" s="150"/>
    </row>
    <row r="198">
      <c r="A198" s="157" t="b">
        <v>0</v>
      </c>
      <c r="B198" s="150"/>
      <c r="C198" s="151" t="s">
        <v>414</v>
      </c>
      <c r="D198" s="150"/>
      <c r="E198" s="160" t="s">
        <v>124</v>
      </c>
      <c r="F198" s="150"/>
      <c r="G198" s="160" t="s">
        <v>286</v>
      </c>
      <c r="H198" s="150"/>
      <c r="I198" s="150"/>
      <c r="J198" s="160"/>
      <c r="K198" s="150"/>
      <c r="L198" s="149"/>
      <c r="M198" s="149"/>
      <c r="N198" s="157"/>
      <c r="O198" s="161"/>
      <c r="P198" s="150"/>
      <c r="Q198" s="150"/>
    </row>
    <row r="199">
      <c r="A199" s="157" t="b">
        <v>0</v>
      </c>
      <c r="B199" s="150"/>
      <c r="C199" s="151" t="s">
        <v>414</v>
      </c>
      <c r="D199" s="150"/>
      <c r="E199" s="160" t="s">
        <v>124</v>
      </c>
      <c r="F199" s="150"/>
      <c r="G199" s="160" t="s">
        <v>287</v>
      </c>
      <c r="H199" s="150"/>
      <c r="I199" s="150"/>
      <c r="J199" s="160"/>
      <c r="K199" s="150"/>
      <c r="L199" s="149"/>
      <c r="M199" s="149"/>
      <c r="N199" s="157"/>
      <c r="O199" s="161"/>
      <c r="P199" s="150"/>
      <c r="Q199" s="150"/>
    </row>
    <row r="200">
      <c r="A200" s="157" t="b">
        <v>0</v>
      </c>
      <c r="B200" s="150"/>
      <c r="C200" s="151" t="s">
        <v>414</v>
      </c>
      <c r="D200" s="150"/>
      <c r="E200" s="160" t="s">
        <v>124</v>
      </c>
      <c r="F200" s="150"/>
      <c r="G200" s="160" t="s">
        <v>288</v>
      </c>
      <c r="H200" s="150"/>
      <c r="I200" s="150"/>
      <c r="J200" s="160"/>
      <c r="K200" s="150"/>
      <c r="L200" s="149"/>
      <c r="M200" s="149"/>
      <c r="N200" s="157"/>
      <c r="O200" s="161"/>
      <c r="P200" s="150"/>
      <c r="Q200" s="150"/>
    </row>
    <row r="201">
      <c r="A201" s="157" t="b">
        <v>0</v>
      </c>
      <c r="B201" s="150"/>
      <c r="C201" s="151" t="s">
        <v>414</v>
      </c>
      <c r="D201" s="150"/>
      <c r="E201" s="160" t="s">
        <v>124</v>
      </c>
      <c r="F201" s="150"/>
      <c r="G201" s="160" t="s">
        <v>289</v>
      </c>
      <c r="H201" s="150"/>
      <c r="I201" s="150"/>
      <c r="J201" s="160" t="s">
        <v>548</v>
      </c>
      <c r="K201" s="150"/>
      <c r="L201" s="149"/>
      <c r="M201" s="149"/>
      <c r="N201" s="157"/>
      <c r="O201" s="161"/>
      <c r="P201" s="150"/>
      <c r="Q201" s="150"/>
    </row>
    <row r="202">
      <c r="A202" s="157" t="b">
        <v>0</v>
      </c>
      <c r="B202" s="150"/>
      <c r="C202" s="151" t="s">
        <v>414</v>
      </c>
      <c r="D202" s="150"/>
      <c r="E202" s="160" t="s">
        <v>124</v>
      </c>
      <c r="F202" s="150"/>
      <c r="G202" s="160" t="s">
        <v>289</v>
      </c>
      <c r="H202" s="150"/>
      <c r="I202" s="150"/>
      <c r="J202" s="160" t="s">
        <v>549</v>
      </c>
      <c r="K202" s="150"/>
      <c r="L202" s="149"/>
      <c r="M202" s="149"/>
      <c r="N202" s="157"/>
      <c r="O202" s="161"/>
      <c r="P202" s="150"/>
      <c r="Q202" s="150"/>
    </row>
    <row r="203">
      <c r="A203" s="157" t="b">
        <v>0</v>
      </c>
      <c r="B203" s="150"/>
      <c r="C203" s="151" t="s">
        <v>414</v>
      </c>
      <c r="D203" s="150"/>
      <c r="E203" s="160" t="s">
        <v>124</v>
      </c>
      <c r="F203" s="150"/>
      <c r="G203" s="160" t="s">
        <v>289</v>
      </c>
      <c r="H203" s="150"/>
      <c r="I203" s="150"/>
      <c r="J203" s="160" t="s">
        <v>550</v>
      </c>
      <c r="K203" s="150"/>
      <c r="L203" s="149"/>
      <c r="M203" s="149"/>
      <c r="N203" s="157"/>
      <c r="O203" s="161"/>
      <c r="P203" s="150"/>
      <c r="Q203" s="150"/>
    </row>
    <row r="204">
      <c r="A204" s="157" t="b">
        <v>0</v>
      </c>
      <c r="B204" s="150"/>
      <c r="C204" s="151" t="s">
        <v>414</v>
      </c>
      <c r="D204" s="150"/>
      <c r="E204" s="160" t="s">
        <v>124</v>
      </c>
      <c r="F204" s="150"/>
      <c r="G204" s="160" t="s">
        <v>290</v>
      </c>
      <c r="H204" s="150"/>
      <c r="I204" s="150"/>
      <c r="J204" s="160"/>
      <c r="K204" s="150"/>
      <c r="L204" s="149"/>
      <c r="M204" s="149"/>
      <c r="N204" s="157"/>
      <c r="O204" s="161"/>
      <c r="P204" s="150"/>
      <c r="Q204" s="150"/>
    </row>
    <row r="205">
      <c r="A205" s="157" t="b">
        <v>0</v>
      </c>
      <c r="B205" s="150"/>
      <c r="C205" s="151" t="s">
        <v>414</v>
      </c>
      <c r="D205" s="150"/>
      <c r="E205" s="160" t="s">
        <v>124</v>
      </c>
      <c r="F205" s="150"/>
      <c r="G205" s="160" t="s">
        <v>291</v>
      </c>
      <c r="H205" s="150"/>
      <c r="I205" s="150"/>
      <c r="J205" s="160"/>
      <c r="K205" s="150"/>
      <c r="L205" s="149"/>
      <c r="M205" s="149"/>
      <c r="N205" s="157"/>
      <c r="O205" s="161"/>
      <c r="P205" s="150"/>
      <c r="Q205" s="150"/>
    </row>
    <row r="206">
      <c r="A206" s="157" t="b">
        <v>0</v>
      </c>
      <c r="B206" s="150"/>
      <c r="C206" s="151" t="s">
        <v>414</v>
      </c>
      <c r="D206" s="150"/>
      <c r="E206" s="160" t="s">
        <v>124</v>
      </c>
      <c r="F206" s="150"/>
      <c r="G206" s="160" t="s">
        <v>292</v>
      </c>
      <c r="H206" s="150"/>
      <c r="I206" s="150"/>
      <c r="J206" s="160" t="s">
        <v>551</v>
      </c>
      <c r="K206" s="150"/>
      <c r="L206" s="149"/>
      <c r="M206" s="149"/>
      <c r="N206" s="157"/>
      <c r="O206" s="161"/>
      <c r="P206" s="150"/>
      <c r="Q206" s="150"/>
    </row>
    <row r="207">
      <c r="A207" s="157" t="b">
        <v>0</v>
      </c>
      <c r="B207" s="150"/>
      <c r="C207" s="151" t="s">
        <v>414</v>
      </c>
      <c r="D207" s="150"/>
      <c r="E207" s="160" t="s">
        <v>124</v>
      </c>
      <c r="F207" s="150"/>
      <c r="G207" s="160" t="s">
        <v>292</v>
      </c>
      <c r="H207" s="150"/>
      <c r="I207" s="150"/>
      <c r="J207" s="160" t="s">
        <v>552</v>
      </c>
      <c r="K207" s="150"/>
      <c r="L207" s="149"/>
      <c r="M207" s="149"/>
      <c r="N207" s="157"/>
      <c r="O207" s="161"/>
      <c r="P207" s="150"/>
      <c r="Q207" s="150"/>
    </row>
    <row r="208">
      <c r="A208" s="157" t="b">
        <v>0</v>
      </c>
      <c r="B208" s="150"/>
      <c r="C208" s="151" t="s">
        <v>414</v>
      </c>
      <c r="D208" s="150"/>
      <c r="E208" s="160" t="s">
        <v>124</v>
      </c>
      <c r="F208" s="150"/>
      <c r="G208" s="160" t="s">
        <v>292</v>
      </c>
      <c r="H208" s="150"/>
      <c r="I208" s="150"/>
      <c r="J208" s="160" t="s">
        <v>553</v>
      </c>
      <c r="K208" s="150"/>
      <c r="L208" s="149"/>
      <c r="M208" s="149"/>
      <c r="N208" s="157"/>
      <c r="O208" s="161"/>
      <c r="P208" s="150"/>
      <c r="Q208" s="150"/>
    </row>
    <row r="209">
      <c r="A209" s="157" t="b">
        <v>0</v>
      </c>
      <c r="B209" s="150"/>
      <c r="C209" s="151" t="s">
        <v>414</v>
      </c>
      <c r="D209" s="150"/>
      <c r="E209" s="160" t="s">
        <v>124</v>
      </c>
      <c r="F209" s="150"/>
      <c r="G209" s="160" t="s">
        <v>293</v>
      </c>
      <c r="H209" s="150"/>
      <c r="I209" s="150"/>
      <c r="J209" s="160" t="s">
        <v>554</v>
      </c>
      <c r="K209" s="150"/>
      <c r="L209" s="149"/>
      <c r="M209" s="149"/>
      <c r="N209" s="157"/>
      <c r="O209" s="161"/>
      <c r="P209" s="150"/>
      <c r="Q209" s="150"/>
    </row>
    <row r="210">
      <c r="A210" s="157" t="b">
        <v>0</v>
      </c>
      <c r="B210" s="150"/>
      <c r="C210" s="151" t="s">
        <v>414</v>
      </c>
      <c r="D210" s="150"/>
      <c r="E210" s="160" t="s">
        <v>124</v>
      </c>
      <c r="F210" s="150"/>
      <c r="G210" s="160" t="s">
        <v>294</v>
      </c>
      <c r="H210" s="150"/>
      <c r="I210" s="150"/>
      <c r="J210" s="160" t="s">
        <v>555</v>
      </c>
      <c r="K210" s="150"/>
      <c r="L210" s="149"/>
      <c r="M210" s="149"/>
      <c r="N210" s="157"/>
      <c r="O210" s="161"/>
      <c r="P210" s="150"/>
      <c r="Q210" s="150"/>
    </row>
    <row r="211">
      <c r="A211" s="157" t="b">
        <v>0</v>
      </c>
      <c r="B211" s="150"/>
      <c r="C211" s="151" t="s">
        <v>414</v>
      </c>
      <c r="D211" s="150"/>
      <c r="E211" s="160" t="s">
        <v>124</v>
      </c>
      <c r="F211" s="150"/>
      <c r="G211" s="160" t="s">
        <v>294</v>
      </c>
      <c r="H211" s="150"/>
      <c r="I211" s="150"/>
      <c r="J211" s="160" t="s">
        <v>556</v>
      </c>
      <c r="K211" s="150"/>
      <c r="L211" s="149"/>
      <c r="M211" s="149"/>
      <c r="N211" s="157"/>
      <c r="O211" s="161"/>
      <c r="P211" s="150"/>
      <c r="Q211" s="150"/>
    </row>
    <row r="212">
      <c r="A212" s="157" t="b">
        <v>0</v>
      </c>
      <c r="B212" s="150"/>
      <c r="C212" s="151" t="s">
        <v>414</v>
      </c>
      <c r="D212" s="150"/>
      <c r="E212" s="160" t="s">
        <v>124</v>
      </c>
      <c r="F212" s="150"/>
      <c r="G212" s="160" t="s">
        <v>294</v>
      </c>
      <c r="H212" s="150"/>
      <c r="I212" s="150"/>
      <c r="J212" s="160" t="s">
        <v>557</v>
      </c>
      <c r="K212" s="150"/>
      <c r="L212" s="149"/>
      <c r="M212" s="149"/>
      <c r="N212" s="157"/>
      <c r="O212" s="161"/>
      <c r="P212" s="150"/>
      <c r="Q212" s="150"/>
    </row>
    <row r="213">
      <c r="A213" s="157" t="b">
        <v>0</v>
      </c>
      <c r="B213" s="150"/>
      <c r="C213" s="151" t="s">
        <v>414</v>
      </c>
      <c r="D213" s="150"/>
      <c r="E213" s="160" t="s">
        <v>124</v>
      </c>
      <c r="F213" s="150"/>
      <c r="G213" s="160" t="s">
        <v>295</v>
      </c>
      <c r="H213" s="150"/>
      <c r="I213" s="150"/>
      <c r="J213" s="160" t="s">
        <v>558</v>
      </c>
      <c r="K213" s="150"/>
      <c r="L213" s="149"/>
      <c r="M213" s="149"/>
      <c r="N213" s="157"/>
      <c r="O213" s="161"/>
      <c r="P213" s="150"/>
      <c r="Q213" s="150"/>
    </row>
    <row r="214">
      <c r="A214" s="157" t="b">
        <v>0</v>
      </c>
      <c r="B214" s="150"/>
      <c r="C214" s="151" t="s">
        <v>414</v>
      </c>
      <c r="D214" s="150"/>
      <c r="E214" s="160" t="s">
        <v>124</v>
      </c>
      <c r="F214" s="150"/>
      <c r="G214" s="160" t="s">
        <v>295</v>
      </c>
      <c r="H214" s="150"/>
      <c r="I214" s="150"/>
      <c r="J214" s="160" t="s">
        <v>559</v>
      </c>
      <c r="K214" s="150"/>
      <c r="L214" s="149"/>
      <c r="M214" s="149"/>
      <c r="N214" s="157"/>
      <c r="O214" s="161"/>
      <c r="P214" s="150"/>
      <c r="Q214" s="150"/>
    </row>
    <row r="215">
      <c r="A215" s="157" t="b">
        <v>0</v>
      </c>
      <c r="B215" s="150"/>
      <c r="C215" s="151" t="s">
        <v>414</v>
      </c>
      <c r="D215" s="150"/>
      <c r="E215" s="160" t="s">
        <v>124</v>
      </c>
      <c r="F215" s="150"/>
      <c r="G215" s="160" t="s">
        <v>295</v>
      </c>
      <c r="H215" s="150"/>
      <c r="I215" s="150"/>
      <c r="J215" s="160" t="s">
        <v>560</v>
      </c>
      <c r="K215" s="150"/>
      <c r="L215" s="149"/>
      <c r="M215" s="149"/>
      <c r="N215" s="157"/>
      <c r="O215" s="161"/>
      <c r="P215" s="150"/>
      <c r="Q215" s="150"/>
    </row>
    <row r="216">
      <c r="A216" s="157" t="b">
        <v>0</v>
      </c>
      <c r="B216" s="150"/>
      <c r="C216" s="151" t="s">
        <v>414</v>
      </c>
      <c r="D216" s="150"/>
      <c r="E216" s="157" t="s">
        <v>124</v>
      </c>
      <c r="F216" s="150"/>
      <c r="G216" s="158" t="s">
        <v>296</v>
      </c>
      <c r="H216" s="150"/>
      <c r="I216" s="150"/>
      <c r="J216" s="158" t="s">
        <v>561</v>
      </c>
      <c r="K216" s="150"/>
      <c r="L216" s="149"/>
      <c r="M216" s="149"/>
      <c r="N216" s="157"/>
      <c r="O216" s="163" t="s">
        <v>562</v>
      </c>
      <c r="P216" s="150"/>
      <c r="Q216" s="150"/>
    </row>
    <row r="217">
      <c r="A217" s="157" t="b">
        <v>0</v>
      </c>
      <c r="B217" s="150"/>
      <c r="C217" s="151" t="s">
        <v>414</v>
      </c>
      <c r="D217" s="150"/>
      <c r="E217" s="157" t="s">
        <v>124</v>
      </c>
      <c r="F217" s="150"/>
      <c r="G217" s="158" t="s">
        <v>296</v>
      </c>
      <c r="H217" s="150"/>
      <c r="I217" s="150"/>
      <c r="J217" s="158" t="s">
        <v>563</v>
      </c>
      <c r="K217" s="150"/>
      <c r="L217" s="149"/>
      <c r="M217" s="149"/>
      <c r="N217" s="157"/>
      <c r="O217" s="163" t="s">
        <v>564</v>
      </c>
      <c r="P217" s="150"/>
      <c r="Q217" s="150"/>
    </row>
    <row r="218">
      <c r="A218" s="157" t="b">
        <v>0</v>
      </c>
      <c r="B218" s="150"/>
      <c r="C218" s="151" t="s">
        <v>414</v>
      </c>
      <c r="D218" s="150"/>
      <c r="E218" s="157" t="s">
        <v>124</v>
      </c>
      <c r="F218" s="150"/>
      <c r="G218" s="158" t="s">
        <v>296</v>
      </c>
      <c r="H218" s="150"/>
      <c r="I218" s="150"/>
      <c r="J218" s="158" t="s">
        <v>565</v>
      </c>
      <c r="K218" s="150"/>
      <c r="L218" s="149"/>
      <c r="M218" s="149"/>
      <c r="N218" s="157"/>
      <c r="O218" s="163" t="s">
        <v>566</v>
      </c>
      <c r="P218" s="150"/>
      <c r="Q218" s="150"/>
    </row>
    <row r="219">
      <c r="A219" s="157" t="b">
        <v>0</v>
      </c>
      <c r="B219" s="150"/>
      <c r="C219" s="151" t="s">
        <v>414</v>
      </c>
      <c r="D219" s="150"/>
      <c r="E219" s="157" t="s">
        <v>124</v>
      </c>
      <c r="F219" s="150"/>
      <c r="G219" s="158" t="s">
        <v>297</v>
      </c>
      <c r="H219" s="150"/>
      <c r="I219" s="150"/>
      <c r="J219" s="158" t="s">
        <v>567</v>
      </c>
      <c r="K219" s="150"/>
      <c r="L219" s="149"/>
      <c r="M219" s="149"/>
      <c r="N219" s="157"/>
      <c r="O219" s="163" t="s">
        <v>568</v>
      </c>
      <c r="P219" s="150"/>
      <c r="Q219" s="150"/>
    </row>
    <row r="220">
      <c r="A220" s="157" t="b">
        <v>0</v>
      </c>
      <c r="B220" s="150"/>
      <c r="C220" s="151" t="s">
        <v>414</v>
      </c>
      <c r="D220" s="150"/>
      <c r="E220" s="157" t="s">
        <v>124</v>
      </c>
      <c r="F220" s="150"/>
      <c r="G220" s="158" t="s">
        <v>298</v>
      </c>
      <c r="H220" s="150"/>
      <c r="I220" s="150"/>
      <c r="J220" s="158" t="s">
        <v>569</v>
      </c>
      <c r="K220" s="150"/>
      <c r="L220" s="149"/>
      <c r="M220" s="149"/>
      <c r="N220" s="157"/>
      <c r="O220" s="163" t="s">
        <v>570</v>
      </c>
      <c r="P220" s="150"/>
      <c r="Q220" s="150"/>
    </row>
    <row r="221">
      <c r="A221" s="157" t="b">
        <v>0</v>
      </c>
      <c r="B221" s="150"/>
      <c r="C221" s="151" t="s">
        <v>414</v>
      </c>
      <c r="D221" s="150"/>
      <c r="E221" s="157" t="s">
        <v>124</v>
      </c>
      <c r="F221" s="150"/>
      <c r="G221" s="158" t="s">
        <v>298</v>
      </c>
      <c r="H221" s="150"/>
      <c r="I221" s="150"/>
      <c r="J221" s="158" t="s">
        <v>571</v>
      </c>
      <c r="K221" s="150"/>
      <c r="L221" s="149"/>
      <c r="M221" s="149"/>
      <c r="N221" s="157"/>
      <c r="O221" s="163" t="s">
        <v>572</v>
      </c>
      <c r="P221" s="150"/>
      <c r="Q221" s="150"/>
    </row>
    <row r="222">
      <c r="A222" s="157" t="b">
        <v>0</v>
      </c>
      <c r="B222" s="150"/>
      <c r="C222" s="151" t="s">
        <v>414</v>
      </c>
      <c r="D222" s="150"/>
      <c r="E222" s="157" t="s">
        <v>124</v>
      </c>
      <c r="F222" s="150"/>
      <c r="G222" s="158" t="s">
        <v>298</v>
      </c>
      <c r="H222" s="150"/>
      <c r="I222" s="150"/>
      <c r="J222" s="158" t="s">
        <v>573</v>
      </c>
      <c r="K222" s="150"/>
      <c r="L222" s="149"/>
      <c r="M222" s="149"/>
      <c r="N222" s="157"/>
      <c r="O222" s="163"/>
      <c r="P222" s="150"/>
      <c r="Q222" s="150"/>
    </row>
    <row r="223">
      <c r="A223" s="157" t="b">
        <v>0</v>
      </c>
      <c r="B223" s="150"/>
      <c r="C223" s="151" t="s">
        <v>414</v>
      </c>
      <c r="D223" s="150"/>
      <c r="E223" s="160" t="s">
        <v>211</v>
      </c>
      <c r="F223" s="150"/>
      <c r="G223" s="160" t="s">
        <v>299</v>
      </c>
      <c r="H223" s="150"/>
      <c r="I223" s="150"/>
      <c r="J223" s="160"/>
      <c r="K223" s="150"/>
      <c r="L223" s="149"/>
      <c r="M223" s="149"/>
      <c r="N223" s="157"/>
      <c r="O223" s="161"/>
      <c r="P223" s="150"/>
      <c r="Q223" s="150"/>
    </row>
    <row r="224">
      <c r="A224" s="157" t="b">
        <v>0</v>
      </c>
      <c r="B224" s="150"/>
      <c r="C224" s="151" t="s">
        <v>414</v>
      </c>
      <c r="D224" s="150"/>
      <c r="E224" s="160" t="s">
        <v>211</v>
      </c>
      <c r="F224" s="150"/>
      <c r="G224" s="160" t="s">
        <v>300</v>
      </c>
      <c r="H224" s="150"/>
      <c r="I224" s="150"/>
      <c r="J224" s="160" t="s">
        <v>574</v>
      </c>
      <c r="K224" s="150"/>
      <c r="L224" s="149"/>
      <c r="M224" s="149"/>
      <c r="N224" s="157"/>
      <c r="O224" s="161"/>
      <c r="P224" s="150"/>
      <c r="Q224" s="150"/>
    </row>
    <row r="225">
      <c r="A225" s="157" t="b">
        <v>0</v>
      </c>
      <c r="B225" s="150"/>
      <c r="C225" s="151" t="s">
        <v>414</v>
      </c>
      <c r="D225" s="150"/>
      <c r="E225" s="160" t="s">
        <v>211</v>
      </c>
      <c r="F225" s="150"/>
      <c r="G225" s="160" t="s">
        <v>300</v>
      </c>
      <c r="H225" s="150"/>
      <c r="I225" s="150"/>
      <c r="J225" s="160" t="s">
        <v>575</v>
      </c>
      <c r="K225" s="150"/>
      <c r="L225" s="149"/>
      <c r="M225" s="149"/>
      <c r="N225" s="157"/>
      <c r="O225" s="161"/>
      <c r="P225" s="150"/>
      <c r="Q225" s="150"/>
    </row>
    <row r="226">
      <c r="A226" s="157" t="b">
        <v>0</v>
      </c>
      <c r="B226" s="150"/>
      <c r="C226" s="151" t="s">
        <v>414</v>
      </c>
      <c r="D226" s="150"/>
      <c r="E226" s="160" t="s">
        <v>211</v>
      </c>
      <c r="F226" s="150"/>
      <c r="G226" s="160" t="s">
        <v>300</v>
      </c>
      <c r="H226" s="150"/>
      <c r="I226" s="150"/>
      <c r="J226" s="160" t="s">
        <v>576</v>
      </c>
      <c r="K226" s="150"/>
      <c r="L226" s="149"/>
      <c r="M226" s="149"/>
      <c r="N226" s="157"/>
      <c r="O226" s="161"/>
      <c r="P226" s="150"/>
      <c r="Q226" s="150"/>
    </row>
    <row r="227">
      <c r="A227" s="157" t="b">
        <v>0</v>
      </c>
      <c r="B227" s="150"/>
      <c r="C227" s="151" t="s">
        <v>414</v>
      </c>
      <c r="D227" s="150"/>
      <c r="E227" s="160" t="s">
        <v>211</v>
      </c>
      <c r="F227" s="150"/>
      <c r="G227" s="160" t="s">
        <v>301</v>
      </c>
      <c r="H227" s="150"/>
      <c r="I227" s="150"/>
      <c r="J227" s="160"/>
      <c r="K227" s="150"/>
      <c r="L227" s="149"/>
      <c r="M227" s="149"/>
      <c r="N227" s="157"/>
      <c r="O227" s="161"/>
      <c r="P227" s="150"/>
      <c r="Q227" s="150"/>
    </row>
    <row r="228">
      <c r="A228" s="157" t="b">
        <v>0</v>
      </c>
      <c r="B228" s="150"/>
      <c r="C228" s="151" t="s">
        <v>414</v>
      </c>
      <c r="D228" s="150"/>
      <c r="E228" s="160" t="s">
        <v>211</v>
      </c>
      <c r="F228" s="150"/>
      <c r="G228" s="160" t="s">
        <v>302</v>
      </c>
      <c r="H228" s="150"/>
      <c r="I228" s="150"/>
      <c r="J228" s="160" t="s">
        <v>577</v>
      </c>
      <c r="K228" s="150"/>
      <c r="L228" s="149"/>
      <c r="M228" s="149"/>
      <c r="N228" s="157"/>
      <c r="O228" s="161"/>
      <c r="P228" s="150"/>
      <c r="Q228" s="150"/>
    </row>
    <row r="229">
      <c r="A229" s="157" t="b">
        <v>0</v>
      </c>
      <c r="B229" s="150"/>
      <c r="C229" s="151" t="s">
        <v>414</v>
      </c>
      <c r="D229" s="150"/>
      <c r="E229" s="160" t="s">
        <v>211</v>
      </c>
      <c r="F229" s="150"/>
      <c r="G229" s="160" t="s">
        <v>302</v>
      </c>
      <c r="H229" s="150"/>
      <c r="I229" s="150"/>
      <c r="J229" s="160" t="s">
        <v>578</v>
      </c>
      <c r="K229" s="150"/>
      <c r="L229" s="149"/>
      <c r="M229" s="149"/>
      <c r="N229" s="157"/>
      <c r="O229" s="161"/>
      <c r="P229" s="150"/>
      <c r="Q229" s="150"/>
    </row>
    <row r="230">
      <c r="A230" s="157" t="b">
        <v>0</v>
      </c>
      <c r="B230" s="150"/>
      <c r="C230" s="151" t="s">
        <v>414</v>
      </c>
      <c r="D230" s="150"/>
      <c r="E230" s="160" t="s">
        <v>211</v>
      </c>
      <c r="F230" s="150"/>
      <c r="G230" s="160" t="s">
        <v>302</v>
      </c>
      <c r="H230" s="150"/>
      <c r="I230" s="150"/>
      <c r="J230" s="160" t="s">
        <v>579</v>
      </c>
      <c r="K230" s="150"/>
      <c r="L230" s="149"/>
      <c r="M230" s="149"/>
      <c r="N230" s="157"/>
      <c r="O230" s="161"/>
      <c r="P230" s="150"/>
      <c r="Q230" s="150"/>
    </row>
    <row r="231">
      <c r="A231" s="157" t="b">
        <v>0</v>
      </c>
      <c r="B231" s="150"/>
      <c r="C231" s="151" t="s">
        <v>414</v>
      </c>
      <c r="D231" s="150"/>
      <c r="E231" s="160" t="s">
        <v>211</v>
      </c>
      <c r="F231" s="150"/>
      <c r="G231" s="160" t="s">
        <v>302</v>
      </c>
      <c r="H231" s="150"/>
      <c r="I231" s="150"/>
      <c r="J231" s="160"/>
      <c r="K231" s="150"/>
      <c r="L231" s="149"/>
      <c r="M231" s="149"/>
      <c r="N231" s="157"/>
      <c r="O231" s="161"/>
      <c r="P231" s="150"/>
      <c r="Q231" s="150"/>
    </row>
    <row r="232">
      <c r="A232" s="157" t="b">
        <v>0</v>
      </c>
      <c r="B232" s="150"/>
      <c r="C232" s="151" t="s">
        <v>414</v>
      </c>
      <c r="D232" s="150"/>
      <c r="E232" s="160" t="s">
        <v>211</v>
      </c>
      <c r="F232" s="150"/>
      <c r="G232" s="160" t="s">
        <v>303</v>
      </c>
      <c r="H232" s="150"/>
      <c r="I232" s="150"/>
      <c r="J232" s="160" t="s">
        <v>580</v>
      </c>
      <c r="K232" s="150"/>
      <c r="L232" s="149"/>
      <c r="M232" s="149"/>
      <c r="N232" s="157"/>
      <c r="O232" s="161"/>
      <c r="P232" s="150"/>
      <c r="Q232" s="150"/>
    </row>
    <row r="233">
      <c r="A233" s="157" t="b">
        <v>0</v>
      </c>
      <c r="B233" s="150"/>
      <c r="C233" s="151" t="s">
        <v>414</v>
      </c>
      <c r="D233" s="150"/>
      <c r="E233" s="160" t="s">
        <v>211</v>
      </c>
      <c r="F233" s="150"/>
      <c r="G233" s="160" t="s">
        <v>303</v>
      </c>
      <c r="H233" s="150"/>
      <c r="I233" s="150"/>
      <c r="J233" s="160" t="s">
        <v>581</v>
      </c>
      <c r="K233" s="150"/>
      <c r="L233" s="149"/>
      <c r="M233" s="149"/>
      <c r="N233" s="157"/>
      <c r="O233" s="161"/>
      <c r="P233" s="150"/>
      <c r="Q233" s="150"/>
    </row>
    <row r="234">
      <c r="A234" s="157" t="b">
        <v>0</v>
      </c>
      <c r="B234" s="150"/>
      <c r="C234" s="151" t="s">
        <v>414</v>
      </c>
      <c r="D234" s="150"/>
      <c r="E234" s="160" t="s">
        <v>211</v>
      </c>
      <c r="F234" s="150"/>
      <c r="G234" s="160" t="s">
        <v>303</v>
      </c>
      <c r="H234" s="150"/>
      <c r="I234" s="150"/>
      <c r="J234" s="160" t="s">
        <v>582</v>
      </c>
      <c r="K234" s="150"/>
      <c r="L234" s="149"/>
      <c r="M234" s="149"/>
      <c r="N234" s="157"/>
      <c r="O234" s="161"/>
      <c r="P234" s="150"/>
      <c r="Q234" s="150"/>
    </row>
    <row r="235">
      <c r="A235" s="157" t="b">
        <v>0</v>
      </c>
      <c r="B235" s="150"/>
      <c r="C235" s="151" t="s">
        <v>414</v>
      </c>
      <c r="D235" s="150"/>
      <c r="E235" s="160" t="s">
        <v>211</v>
      </c>
      <c r="F235" s="150"/>
      <c r="G235" s="160" t="s">
        <v>304</v>
      </c>
      <c r="H235" s="150"/>
      <c r="I235" s="150"/>
      <c r="J235" s="160"/>
      <c r="K235" s="150"/>
      <c r="L235" s="149"/>
      <c r="M235" s="149"/>
      <c r="N235" s="157"/>
      <c r="O235" s="161"/>
      <c r="P235" s="150"/>
      <c r="Q235" s="150"/>
    </row>
    <row r="236">
      <c r="A236" s="157" t="b">
        <v>0</v>
      </c>
      <c r="B236" s="150"/>
      <c r="C236" s="151" t="s">
        <v>414</v>
      </c>
      <c r="D236" s="150"/>
      <c r="E236" s="160" t="s">
        <v>211</v>
      </c>
      <c r="F236" s="150"/>
      <c r="G236" s="160" t="s">
        <v>305</v>
      </c>
      <c r="H236" s="150"/>
      <c r="I236" s="150"/>
      <c r="J236" s="160"/>
      <c r="K236" s="150"/>
      <c r="L236" s="149"/>
      <c r="M236" s="149"/>
      <c r="N236" s="157"/>
      <c r="O236" s="161"/>
      <c r="P236" s="150"/>
      <c r="Q236" s="150"/>
    </row>
    <row r="237">
      <c r="A237" s="157" t="b">
        <v>0</v>
      </c>
      <c r="B237" s="150"/>
      <c r="C237" s="151" t="s">
        <v>414</v>
      </c>
      <c r="D237" s="150"/>
      <c r="E237" s="160" t="s">
        <v>211</v>
      </c>
      <c r="F237" s="150"/>
      <c r="G237" s="160" t="s">
        <v>306</v>
      </c>
      <c r="H237" s="150"/>
      <c r="I237" s="150"/>
      <c r="J237" s="160"/>
      <c r="K237" s="150"/>
      <c r="L237" s="149"/>
      <c r="M237" s="149"/>
      <c r="N237" s="157"/>
      <c r="O237" s="161"/>
      <c r="P237" s="150"/>
      <c r="Q237" s="150"/>
    </row>
    <row r="238">
      <c r="A238" s="157" t="b">
        <v>0</v>
      </c>
      <c r="B238" s="150"/>
      <c r="C238" s="151" t="s">
        <v>414</v>
      </c>
      <c r="D238" s="150"/>
      <c r="E238" s="160" t="s">
        <v>211</v>
      </c>
      <c r="F238" s="150"/>
      <c r="G238" s="160" t="s">
        <v>307</v>
      </c>
      <c r="H238" s="150"/>
      <c r="I238" s="150"/>
      <c r="J238" s="160" t="s">
        <v>583</v>
      </c>
      <c r="K238" s="150"/>
      <c r="L238" s="149"/>
      <c r="M238" s="149"/>
      <c r="N238" s="157"/>
      <c r="O238" s="161"/>
      <c r="P238" s="150"/>
      <c r="Q238" s="150"/>
    </row>
    <row r="239">
      <c r="A239" s="157" t="b">
        <v>0</v>
      </c>
      <c r="B239" s="150"/>
      <c r="C239" s="151" t="s">
        <v>414</v>
      </c>
      <c r="D239" s="150"/>
      <c r="E239" s="160" t="s">
        <v>211</v>
      </c>
      <c r="F239" s="150"/>
      <c r="G239" s="160" t="s">
        <v>307</v>
      </c>
      <c r="H239" s="150"/>
      <c r="I239" s="150"/>
      <c r="J239" s="160" t="s">
        <v>584</v>
      </c>
      <c r="K239" s="150"/>
      <c r="L239" s="149"/>
      <c r="M239" s="149"/>
      <c r="N239" s="157"/>
      <c r="O239" s="161"/>
      <c r="P239" s="150"/>
      <c r="Q239" s="150"/>
    </row>
    <row r="240">
      <c r="A240" s="157" t="b">
        <v>0</v>
      </c>
      <c r="B240" s="150"/>
      <c r="C240" s="151" t="s">
        <v>414</v>
      </c>
      <c r="D240" s="150"/>
      <c r="E240" s="160" t="s">
        <v>211</v>
      </c>
      <c r="F240" s="150"/>
      <c r="G240" s="160" t="s">
        <v>307</v>
      </c>
      <c r="H240" s="150"/>
      <c r="I240" s="150"/>
      <c r="J240" s="160" t="s">
        <v>585</v>
      </c>
      <c r="K240" s="150"/>
      <c r="L240" s="149"/>
      <c r="M240" s="149"/>
      <c r="N240" s="157"/>
      <c r="O240" s="161"/>
      <c r="P240" s="150"/>
      <c r="Q240" s="150"/>
    </row>
    <row r="241">
      <c r="A241" s="157" t="b">
        <v>0</v>
      </c>
      <c r="B241" s="150"/>
      <c r="C241" s="151" t="s">
        <v>414</v>
      </c>
      <c r="D241" s="150"/>
      <c r="E241" s="160" t="s">
        <v>211</v>
      </c>
      <c r="F241" s="150"/>
      <c r="G241" s="160" t="s">
        <v>308</v>
      </c>
      <c r="H241" s="150"/>
      <c r="I241" s="150"/>
      <c r="J241" s="160" t="s">
        <v>586</v>
      </c>
      <c r="K241" s="150"/>
      <c r="L241" s="149"/>
      <c r="M241" s="149"/>
      <c r="N241" s="157"/>
      <c r="O241" s="161"/>
      <c r="P241" s="150"/>
      <c r="Q241" s="150"/>
    </row>
    <row r="242">
      <c r="A242" s="157" t="b">
        <v>0</v>
      </c>
      <c r="B242" s="150"/>
      <c r="C242" s="151" t="s">
        <v>414</v>
      </c>
      <c r="D242" s="150"/>
      <c r="E242" s="160" t="s">
        <v>211</v>
      </c>
      <c r="F242" s="150"/>
      <c r="G242" s="160" t="s">
        <v>308</v>
      </c>
      <c r="H242" s="150"/>
      <c r="I242" s="150"/>
      <c r="J242" s="160" t="s">
        <v>587</v>
      </c>
      <c r="K242" s="150"/>
      <c r="L242" s="149"/>
      <c r="M242" s="149"/>
      <c r="N242" s="157"/>
      <c r="O242" s="161"/>
      <c r="P242" s="150"/>
      <c r="Q242" s="150"/>
    </row>
    <row r="243">
      <c r="A243" s="157" t="b">
        <v>0</v>
      </c>
      <c r="B243" s="150"/>
      <c r="C243" s="151" t="s">
        <v>414</v>
      </c>
      <c r="D243" s="150"/>
      <c r="E243" s="160" t="s">
        <v>211</v>
      </c>
      <c r="F243" s="150"/>
      <c r="G243" s="160" t="s">
        <v>308</v>
      </c>
      <c r="H243" s="150"/>
      <c r="I243" s="150"/>
      <c r="J243" s="160" t="s">
        <v>588</v>
      </c>
      <c r="K243" s="150"/>
      <c r="L243" s="149"/>
      <c r="M243" s="149"/>
      <c r="N243" s="157"/>
      <c r="O243" s="161"/>
      <c r="P243" s="150"/>
      <c r="Q243" s="150"/>
    </row>
    <row r="244">
      <c r="A244" s="157" t="b">
        <v>0</v>
      </c>
      <c r="B244" s="150"/>
      <c r="C244" s="151" t="s">
        <v>414</v>
      </c>
      <c r="D244" s="150"/>
      <c r="E244" s="160" t="s">
        <v>211</v>
      </c>
      <c r="F244" s="150"/>
      <c r="G244" s="160" t="s">
        <v>309</v>
      </c>
      <c r="H244" s="150"/>
      <c r="I244" s="150"/>
      <c r="J244" s="160"/>
      <c r="K244" s="150"/>
      <c r="L244" s="149"/>
      <c r="M244" s="149"/>
      <c r="N244" s="157"/>
      <c r="O244" s="161"/>
      <c r="P244" s="150"/>
      <c r="Q244" s="150"/>
    </row>
    <row r="245">
      <c r="A245" s="157" t="b">
        <v>0</v>
      </c>
      <c r="B245" s="150"/>
      <c r="C245" s="151" t="s">
        <v>414</v>
      </c>
      <c r="D245" s="150"/>
      <c r="E245" s="160" t="s">
        <v>211</v>
      </c>
      <c r="F245" s="150"/>
      <c r="G245" s="160" t="s">
        <v>310</v>
      </c>
      <c r="H245" s="150"/>
      <c r="I245" s="150"/>
      <c r="J245" s="160" t="s">
        <v>589</v>
      </c>
      <c r="K245" s="150"/>
      <c r="L245" s="149"/>
      <c r="M245" s="149"/>
      <c r="N245" s="157"/>
      <c r="O245" s="161"/>
      <c r="P245" s="150"/>
      <c r="Q245" s="150"/>
    </row>
    <row r="246">
      <c r="A246" s="157" t="b">
        <v>0</v>
      </c>
      <c r="B246" s="150"/>
      <c r="C246" s="151" t="s">
        <v>414</v>
      </c>
      <c r="D246" s="150"/>
      <c r="E246" s="160" t="s">
        <v>211</v>
      </c>
      <c r="F246" s="150"/>
      <c r="G246" s="160" t="s">
        <v>310</v>
      </c>
      <c r="H246" s="150"/>
      <c r="I246" s="150"/>
      <c r="J246" s="160" t="s">
        <v>590</v>
      </c>
      <c r="K246" s="150"/>
      <c r="L246" s="149"/>
      <c r="M246" s="149"/>
      <c r="N246" s="157"/>
      <c r="O246" s="161"/>
      <c r="P246" s="150"/>
      <c r="Q246" s="150"/>
    </row>
    <row r="247">
      <c r="A247" s="157" t="b">
        <v>0</v>
      </c>
      <c r="B247" s="150"/>
      <c r="C247" s="151" t="s">
        <v>414</v>
      </c>
      <c r="D247" s="150"/>
      <c r="E247" s="160" t="s">
        <v>211</v>
      </c>
      <c r="F247" s="150"/>
      <c r="G247" s="160" t="s">
        <v>310</v>
      </c>
      <c r="H247" s="150"/>
      <c r="I247" s="150"/>
      <c r="J247" s="160" t="s">
        <v>591</v>
      </c>
      <c r="K247" s="150"/>
      <c r="L247" s="149"/>
      <c r="M247" s="149"/>
      <c r="N247" s="157"/>
      <c r="O247" s="161"/>
      <c r="P247" s="150"/>
      <c r="Q247" s="150"/>
    </row>
    <row r="248">
      <c r="A248" s="157" t="b">
        <v>0</v>
      </c>
      <c r="B248" s="150"/>
      <c r="C248" s="151" t="s">
        <v>414</v>
      </c>
      <c r="D248" s="150"/>
      <c r="E248" s="160" t="s">
        <v>211</v>
      </c>
      <c r="F248" s="150"/>
      <c r="G248" s="160" t="s">
        <v>311</v>
      </c>
      <c r="H248" s="150"/>
      <c r="I248" s="150"/>
      <c r="J248" s="160"/>
      <c r="K248" s="150"/>
      <c r="L248" s="149"/>
      <c r="M248" s="149"/>
      <c r="N248" s="157"/>
      <c r="O248" s="161"/>
      <c r="P248" s="150"/>
      <c r="Q248" s="150"/>
    </row>
    <row r="249">
      <c r="A249" s="157" t="b">
        <v>0</v>
      </c>
      <c r="B249" s="150"/>
      <c r="C249" s="151" t="s">
        <v>414</v>
      </c>
      <c r="D249" s="150"/>
      <c r="E249" s="160" t="s">
        <v>213</v>
      </c>
      <c r="F249" s="150"/>
      <c r="G249" s="160" t="s">
        <v>312</v>
      </c>
      <c r="H249" s="150"/>
      <c r="I249" s="150"/>
      <c r="J249" s="160" t="s">
        <v>592</v>
      </c>
      <c r="K249" s="150"/>
      <c r="L249" s="149"/>
      <c r="M249" s="149"/>
      <c r="N249" s="157"/>
      <c r="O249" s="161"/>
      <c r="P249" s="150"/>
      <c r="Q249" s="150"/>
    </row>
    <row r="250">
      <c r="A250" s="157" t="b">
        <v>0</v>
      </c>
      <c r="B250" s="150"/>
      <c r="C250" s="151" t="s">
        <v>414</v>
      </c>
      <c r="D250" s="150"/>
      <c r="E250" s="160" t="s">
        <v>213</v>
      </c>
      <c r="F250" s="150"/>
      <c r="G250" s="160" t="s">
        <v>312</v>
      </c>
      <c r="H250" s="150"/>
      <c r="I250" s="150"/>
      <c r="J250" s="160" t="s">
        <v>593</v>
      </c>
      <c r="K250" s="150"/>
      <c r="L250" s="149"/>
      <c r="M250" s="149"/>
      <c r="N250" s="157"/>
      <c r="O250" s="161"/>
      <c r="P250" s="150"/>
      <c r="Q250" s="150"/>
    </row>
    <row r="251">
      <c r="A251" s="157" t="b">
        <v>0</v>
      </c>
      <c r="B251" s="150"/>
      <c r="C251" s="151" t="s">
        <v>414</v>
      </c>
      <c r="D251" s="150"/>
      <c r="E251" s="160" t="s">
        <v>213</v>
      </c>
      <c r="F251" s="150"/>
      <c r="G251" s="160" t="s">
        <v>312</v>
      </c>
      <c r="H251" s="150"/>
      <c r="I251" s="150"/>
      <c r="J251" s="160" t="s">
        <v>593</v>
      </c>
      <c r="K251" s="150"/>
      <c r="L251" s="149"/>
      <c r="M251" s="149"/>
      <c r="N251" s="157"/>
      <c r="O251" s="161"/>
      <c r="P251" s="150"/>
      <c r="Q251" s="150"/>
    </row>
    <row r="252">
      <c r="A252" s="157" t="b">
        <v>0</v>
      </c>
      <c r="B252" s="150"/>
      <c r="C252" s="151" t="s">
        <v>414</v>
      </c>
      <c r="D252" s="150"/>
      <c r="E252" s="160" t="s">
        <v>213</v>
      </c>
      <c r="F252" s="150"/>
      <c r="G252" s="160" t="s">
        <v>312</v>
      </c>
      <c r="H252" s="150"/>
      <c r="I252" s="150"/>
      <c r="J252" s="160" t="s">
        <v>593</v>
      </c>
      <c r="K252" s="150"/>
      <c r="L252" s="149"/>
      <c r="M252" s="149"/>
      <c r="N252" s="157"/>
      <c r="O252" s="161"/>
      <c r="P252" s="150"/>
      <c r="Q252" s="150"/>
    </row>
    <row r="253">
      <c r="A253" s="157" t="b">
        <v>0</v>
      </c>
      <c r="B253" s="150"/>
      <c r="C253" s="151" t="s">
        <v>414</v>
      </c>
      <c r="D253" s="150"/>
      <c r="E253" s="160" t="s">
        <v>213</v>
      </c>
      <c r="F253" s="150"/>
      <c r="G253" s="160" t="s">
        <v>312</v>
      </c>
      <c r="H253" s="150"/>
      <c r="I253" s="150"/>
      <c r="J253" s="160" t="s">
        <v>594</v>
      </c>
      <c r="K253" s="150"/>
      <c r="L253" s="149"/>
      <c r="M253" s="149"/>
      <c r="N253" s="157"/>
      <c r="O253" s="161"/>
      <c r="P253" s="150"/>
      <c r="Q253" s="150"/>
    </row>
    <row r="254">
      <c r="A254" s="157" t="b">
        <v>0</v>
      </c>
      <c r="B254" s="150"/>
      <c r="C254" s="151" t="s">
        <v>414</v>
      </c>
      <c r="D254" s="150"/>
      <c r="E254" s="160" t="s">
        <v>213</v>
      </c>
      <c r="F254" s="150"/>
      <c r="G254" s="160" t="s">
        <v>312</v>
      </c>
      <c r="H254" s="150"/>
      <c r="I254" s="150"/>
      <c r="J254" s="160" t="s">
        <v>594</v>
      </c>
      <c r="K254" s="150"/>
      <c r="L254" s="149"/>
      <c r="M254" s="149"/>
      <c r="N254" s="157"/>
      <c r="O254" s="161"/>
      <c r="P254" s="150"/>
      <c r="Q254" s="150"/>
    </row>
    <row r="255">
      <c r="A255" s="157" t="b">
        <v>0</v>
      </c>
      <c r="B255" s="150"/>
      <c r="C255" s="151" t="s">
        <v>414</v>
      </c>
      <c r="D255" s="150"/>
      <c r="E255" s="160" t="s">
        <v>213</v>
      </c>
      <c r="F255" s="150"/>
      <c r="G255" s="160" t="s">
        <v>312</v>
      </c>
      <c r="H255" s="150"/>
      <c r="I255" s="150"/>
      <c r="J255" s="160" t="s">
        <v>594</v>
      </c>
      <c r="K255" s="150"/>
      <c r="L255" s="149"/>
      <c r="M255" s="149"/>
      <c r="N255" s="157"/>
      <c r="O255" s="161"/>
      <c r="P255" s="150"/>
      <c r="Q255" s="150"/>
    </row>
    <row r="256">
      <c r="A256" s="157" t="b">
        <v>0</v>
      </c>
      <c r="B256" s="150"/>
      <c r="C256" s="151" t="s">
        <v>414</v>
      </c>
      <c r="D256" s="150"/>
      <c r="E256" s="160" t="s">
        <v>213</v>
      </c>
      <c r="F256" s="150"/>
      <c r="G256" s="160" t="s">
        <v>312</v>
      </c>
      <c r="H256" s="150"/>
      <c r="I256" s="150"/>
      <c r="J256" s="160" t="s">
        <v>595</v>
      </c>
      <c r="K256" s="150"/>
      <c r="L256" s="149"/>
      <c r="M256" s="149"/>
      <c r="N256" s="157"/>
      <c r="O256" s="161"/>
      <c r="P256" s="150"/>
      <c r="Q256" s="150"/>
    </row>
    <row r="257">
      <c r="A257" s="157" t="b">
        <v>0</v>
      </c>
      <c r="B257" s="150"/>
      <c r="C257" s="151" t="s">
        <v>414</v>
      </c>
      <c r="D257" s="150"/>
      <c r="E257" s="160" t="s">
        <v>213</v>
      </c>
      <c r="F257" s="150"/>
      <c r="G257" s="160" t="s">
        <v>312</v>
      </c>
      <c r="H257" s="150"/>
      <c r="I257" s="150"/>
      <c r="J257" s="160" t="s">
        <v>595</v>
      </c>
      <c r="K257" s="150"/>
      <c r="L257" s="149"/>
      <c r="M257" s="149"/>
      <c r="N257" s="157"/>
      <c r="O257" s="161"/>
      <c r="P257" s="150"/>
      <c r="Q257" s="150"/>
    </row>
    <row r="258">
      <c r="A258" s="157" t="b">
        <v>0</v>
      </c>
      <c r="B258" s="150"/>
      <c r="C258" s="151" t="s">
        <v>414</v>
      </c>
      <c r="D258" s="150"/>
      <c r="E258" s="160" t="s">
        <v>213</v>
      </c>
      <c r="F258" s="150"/>
      <c r="G258" s="160" t="s">
        <v>312</v>
      </c>
      <c r="H258" s="150"/>
      <c r="I258" s="150"/>
      <c r="J258" s="160" t="s">
        <v>595</v>
      </c>
      <c r="K258" s="150"/>
      <c r="L258" s="149"/>
      <c r="M258" s="149"/>
      <c r="N258" s="157"/>
      <c r="O258" s="161"/>
      <c r="P258" s="150"/>
      <c r="Q258" s="150"/>
    </row>
    <row r="259">
      <c r="A259" s="157" t="b">
        <v>0</v>
      </c>
      <c r="B259" s="150"/>
      <c r="C259" s="151" t="s">
        <v>414</v>
      </c>
      <c r="D259" s="150"/>
      <c r="E259" s="160" t="s">
        <v>213</v>
      </c>
      <c r="F259" s="150"/>
      <c r="G259" s="160" t="s">
        <v>313</v>
      </c>
      <c r="H259" s="150"/>
      <c r="I259" s="150"/>
      <c r="J259" s="160" t="s">
        <v>596</v>
      </c>
      <c r="K259" s="150"/>
      <c r="L259" s="149"/>
      <c r="M259" s="149"/>
      <c r="N259" s="157"/>
      <c r="O259" s="161"/>
      <c r="P259" s="150"/>
      <c r="Q259" s="150"/>
    </row>
    <row r="260">
      <c r="A260" s="157" t="b">
        <v>0</v>
      </c>
      <c r="B260" s="150"/>
      <c r="C260" s="151" t="s">
        <v>414</v>
      </c>
      <c r="D260" s="150"/>
      <c r="E260" s="160" t="s">
        <v>213</v>
      </c>
      <c r="F260" s="150"/>
      <c r="G260" s="160" t="s">
        <v>313</v>
      </c>
      <c r="H260" s="150"/>
      <c r="I260" s="150"/>
      <c r="J260" s="160" t="s">
        <v>596</v>
      </c>
      <c r="K260" s="150"/>
      <c r="L260" s="149"/>
      <c r="M260" s="149"/>
      <c r="N260" s="157"/>
      <c r="O260" s="161"/>
      <c r="P260" s="150"/>
      <c r="Q260" s="150"/>
    </row>
    <row r="261">
      <c r="A261" s="157" t="b">
        <v>0</v>
      </c>
      <c r="B261" s="150"/>
      <c r="C261" s="151" t="s">
        <v>414</v>
      </c>
      <c r="D261" s="150"/>
      <c r="E261" s="160" t="s">
        <v>213</v>
      </c>
      <c r="F261" s="150"/>
      <c r="G261" s="160" t="s">
        <v>313</v>
      </c>
      <c r="H261" s="150"/>
      <c r="I261" s="150"/>
      <c r="J261" s="160" t="s">
        <v>596</v>
      </c>
      <c r="K261" s="150"/>
      <c r="L261" s="149"/>
      <c r="M261" s="149"/>
      <c r="N261" s="157"/>
      <c r="O261" s="161"/>
      <c r="P261" s="150"/>
      <c r="Q261" s="150"/>
    </row>
    <row r="262">
      <c r="A262" s="157" t="b">
        <v>0</v>
      </c>
      <c r="B262" s="150"/>
      <c r="C262" s="151" t="s">
        <v>414</v>
      </c>
      <c r="D262" s="150"/>
      <c r="E262" s="160" t="s">
        <v>213</v>
      </c>
      <c r="F262" s="150"/>
      <c r="G262" s="160" t="s">
        <v>314</v>
      </c>
      <c r="H262" s="150"/>
      <c r="I262" s="150"/>
      <c r="J262" s="160" t="s">
        <v>597</v>
      </c>
      <c r="K262" s="150"/>
      <c r="L262" s="149"/>
      <c r="M262" s="149"/>
      <c r="N262" s="157"/>
      <c r="O262" s="161"/>
      <c r="P262" s="150"/>
      <c r="Q262" s="150"/>
    </row>
    <row r="263">
      <c r="A263" s="157" t="b">
        <v>0</v>
      </c>
      <c r="B263" s="150"/>
      <c r="C263" s="151" t="s">
        <v>414</v>
      </c>
      <c r="D263" s="150"/>
      <c r="E263" s="160" t="s">
        <v>213</v>
      </c>
      <c r="F263" s="150"/>
      <c r="G263" s="160" t="s">
        <v>314</v>
      </c>
      <c r="H263" s="150"/>
      <c r="I263" s="150"/>
      <c r="J263" s="160" t="s">
        <v>597</v>
      </c>
      <c r="K263" s="150"/>
      <c r="L263" s="149"/>
      <c r="M263" s="149"/>
      <c r="N263" s="157"/>
      <c r="O263" s="161"/>
      <c r="P263" s="150"/>
      <c r="Q263" s="150"/>
    </row>
    <row r="264">
      <c r="A264" s="157" t="b">
        <v>0</v>
      </c>
      <c r="B264" s="150"/>
      <c r="C264" s="151" t="s">
        <v>414</v>
      </c>
      <c r="D264" s="150"/>
      <c r="E264" s="160" t="s">
        <v>213</v>
      </c>
      <c r="F264" s="150"/>
      <c r="G264" s="160" t="s">
        <v>314</v>
      </c>
      <c r="H264" s="150"/>
      <c r="I264" s="150"/>
      <c r="J264" s="160" t="s">
        <v>597</v>
      </c>
      <c r="K264" s="150"/>
      <c r="L264" s="149"/>
      <c r="M264" s="149"/>
      <c r="N264" s="157"/>
      <c r="O264" s="161"/>
      <c r="P264" s="150"/>
      <c r="Q264" s="150"/>
    </row>
    <row r="265">
      <c r="A265" s="157" t="b">
        <v>0</v>
      </c>
      <c r="B265" s="150"/>
      <c r="C265" s="151" t="s">
        <v>414</v>
      </c>
      <c r="D265" s="150"/>
      <c r="E265" s="160" t="s">
        <v>213</v>
      </c>
      <c r="F265" s="150"/>
      <c r="G265" s="160" t="s">
        <v>314</v>
      </c>
      <c r="H265" s="150"/>
      <c r="I265" s="150"/>
      <c r="J265" s="160" t="s">
        <v>598</v>
      </c>
      <c r="K265" s="150"/>
      <c r="L265" s="149"/>
      <c r="M265" s="149"/>
      <c r="N265" s="157"/>
      <c r="O265" s="161"/>
      <c r="P265" s="150"/>
      <c r="Q265" s="150"/>
    </row>
    <row r="266">
      <c r="A266" s="157" t="b">
        <v>0</v>
      </c>
      <c r="B266" s="150"/>
      <c r="C266" s="151" t="s">
        <v>414</v>
      </c>
      <c r="D266" s="150"/>
      <c r="E266" s="160" t="s">
        <v>213</v>
      </c>
      <c r="F266" s="150"/>
      <c r="G266" s="160" t="s">
        <v>314</v>
      </c>
      <c r="H266" s="150"/>
      <c r="I266" s="150"/>
      <c r="J266" s="160" t="s">
        <v>598</v>
      </c>
      <c r="K266" s="150"/>
      <c r="L266" s="149"/>
      <c r="M266" s="149"/>
      <c r="N266" s="157"/>
      <c r="O266" s="161"/>
      <c r="P266" s="150"/>
      <c r="Q266" s="150"/>
    </row>
    <row r="267">
      <c r="A267" s="157" t="b">
        <v>0</v>
      </c>
      <c r="B267" s="150"/>
      <c r="C267" s="151" t="s">
        <v>414</v>
      </c>
      <c r="D267" s="150"/>
      <c r="E267" s="160" t="s">
        <v>213</v>
      </c>
      <c r="F267" s="150"/>
      <c r="G267" s="160" t="s">
        <v>315</v>
      </c>
      <c r="H267" s="150"/>
      <c r="I267" s="150"/>
      <c r="J267" s="160" t="s">
        <v>599</v>
      </c>
      <c r="K267" s="150"/>
      <c r="L267" s="149"/>
      <c r="M267" s="149"/>
      <c r="N267" s="157"/>
      <c r="O267" s="161"/>
      <c r="P267" s="150"/>
      <c r="Q267" s="150"/>
    </row>
    <row r="268">
      <c r="A268" s="157" t="b">
        <v>0</v>
      </c>
      <c r="B268" s="150"/>
      <c r="C268" s="151" t="s">
        <v>414</v>
      </c>
      <c r="D268" s="150"/>
      <c r="E268" s="160" t="s">
        <v>213</v>
      </c>
      <c r="F268" s="150"/>
      <c r="G268" s="160" t="s">
        <v>315</v>
      </c>
      <c r="H268" s="150"/>
      <c r="I268" s="150"/>
      <c r="J268" s="160" t="s">
        <v>599</v>
      </c>
      <c r="K268" s="150"/>
      <c r="L268" s="149"/>
      <c r="M268" s="149"/>
      <c r="N268" s="157"/>
      <c r="O268" s="161"/>
      <c r="P268" s="150"/>
      <c r="Q268" s="150"/>
    </row>
    <row r="269">
      <c r="A269" s="157" t="b">
        <v>0</v>
      </c>
      <c r="B269" s="150"/>
      <c r="C269" s="151" t="s">
        <v>414</v>
      </c>
      <c r="D269" s="150"/>
      <c r="E269" s="160" t="s">
        <v>213</v>
      </c>
      <c r="F269" s="150"/>
      <c r="G269" s="160" t="s">
        <v>315</v>
      </c>
      <c r="H269" s="150"/>
      <c r="I269" s="150"/>
      <c r="J269" s="160" t="s">
        <v>599</v>
      </c>
      <c r="K269" s="150"/>
      <c r="L269" s="149"/>
      <c r="M269" s="149"/>
      <c r="N269" s="157"/>
      <c r="O269" s="161"/>
      <c r="P269" s="150"/>
      <c r="Q269" s="150"/>
    </row>
    <row r="270">
      <c r="A270" s="157" t="b">
        <v>0</v>
      </c>
      <c r="B270" s="150"/>
      <c r="C270" s="151" t="s">
        <v>414</v>
      </c>
      <c r="D270" s="150"/>
      <c r="E270" s="160" t="s">
        <v>213</v>
      </c>
      <c r="F270" s="150"/>
      <c r="G270" s="160" t="s">
        <v>315</v>
      </c>
      <c r="H270" s="150"/>
      <c r="I270" s="150"/>
      <c r="J270" s="160" t="s">
        <v>600</v>
      </c>
      <c r="K270" s="150"/>
      <c r="L270" s="149"/>
      <c r="M270" s="149"/>
      <c r="N270" s="157"/>
      <c r="O270" s="161"/>
      <c r="P270" s="150"/>
      <c r="Q270" s="150"/>
    </row>
    <row r="271">
      <c r="A271" s="157" t="b">
        <v>0</v>
      </c>
      <c r="B271" s="150"/>
      <c r="C271" s="151" t="s">
        <v>414</v>
      </c>
      <c r="D271" s="150"/>
      <c r="E271" s="160" t="s">
        <v>213</v>
      </c>
      <c r="F271" s="150"/>
      <c r="G271" s="160" t="s">
        <v>315</v>
      </c>
      <c r="H271" s="150"/>
      <c r="I271" s="150"/>
      <c r="J271" s="160" t="s">
        <v>600</v>
      </c>
      <c r="K271" s="150"/>
      <c r="L271" s="149"/>
      <c r="M271" s="149"/>
      <c r="N271" s="157"/>
      <c r="O271" s="161"/>
      <c r="P271" s="150"/>
      <c r="Q271" s="150"/>
    </row>
    <row r="272">
      <c r="A272" s="157" t="b">
        <v>0</v>
      </c>
      <c r="B272" s="150"/>
      <c r="C272" s="151" t="s">
        <v>414</v>
      </c>
      <c r="D272" s="150"/>
      <c r="E272" s="160" t="s">
        <v>213</v>
      </c>
      <c r="F272" s="150"/>
      <c r="G272" s="160" t="s">
        <v>315</v>
      </c>
      <c r="H272" s="150"/>
      <c r="I272" s="150"/>
      <c r="J272" s="160" t="s">
        <v>601</v>
      </c>
      <c r="K272" s="150"/>
      <c r="L272" s="149"/>
      <c r="M272" s="149"/>
      <c r="N272" s="157"/>
      <c r="O272" s="161"/>
      <c r="P272" s="150"/>
      <c r="Q272" s="150"/>
    </row>
    <row r="273">
      <c r="A273" s="157" t="b">
        <v>0</v>
      </c>
      <c r="B273" s="150"/>
      <c r="C273" s="151" t="s">
        <v>414</v>
      </c>
      <c r="D273" s="150"/>
      <c r="E273" s="160" t="s">
        <v>213</v>
      </c>
      <c r="F273" s="150"/>
      <c r="G273" s="160" t="s">
        <v>316</v>
      </c>
      <c r="H273" s="150"/>
      <c r="I273" s="150"/>
      <c r="J273" s="160" t="s">
        <v>602</v>
      </c>
      <c r="K273" s="150"/>
      <c r="L273" s="149"/>
      <c r="M273" s="149"/>
      <c r="N273" s="157"/>
      <c r="O273" s="161"/>
      <c r="P273" s="150"/>
      <c r="Q273" s="150"/>
    </row>
    <row r="274">
      <c r="A274" s="157" t="b">
        <v>0</v>
      </c>
      <c r="B274" s="150"/>
      <c r="C274" s="151" t="s">
        <v>414</v>
      </c>
      <c r="D274" s="150"/>
      <c r="E274" s="160" t="s">
        <v>213</v>
      </c>
      <c r="F274" s="150"/>
      <c r="G274" s="160" t="s">
        <v>316</v>
      </c>
      <c r="H274" s="150"/>
      <c r="I274" s="150"/>
      <c r="J274" s="160" t="s">
        <v>602</v>
      </c>
      <c r="K274" s="150"/>
      <c r="L274" s="149"/>
      <c r="M274" s="149"/>
      <c r="N274" s="157"/>
      <c r="O274" s="161"/>
      <c r="P274" s="150"/>
      <c r="Q274" s="150"/>
    </row>
    <row r="275">
      <c r="A275" s="157" t="b">
        <v>0</v>
      </c>
      <c r="B275" s="150"/>
      <c r="C275" s="151" t="s">
        <v>414</v>
      </c>
      <c r="D275" s="150"/>
      <c r="E275" s="160" t="s">
        <v>213</v>
      </c>
      <c r="F275" s="150"/>
      <c r="G275" s="160" t="s">
        <v>316</v>
      </c>
      <c r="H275" s="150"/>
      <c r="I275" s="150"/>
      <c r="J275" s="160" t="s">
        <v>603</v>
      </c>
      <c r="K275" s="150"/>
      <c r="L275" s="149"/>
      <c r="M275" s="149"/>
      <c r="N275" s="157"/>
      <c r="O275" s="161"/>
      <c r="P275" s="150"/>
      <c r="Q275" s="150"/>
    </row>
    <row r="276">
      <c r="A276" s="157" t="b">
        <v>0</v>
      </c>
      <c r="B276" s="150"/>
      <c r="C276" s="151" t="s">
        <v>414</v>
      </c>
      <c r="D276" s="150"/>
      <c r="E276" s="160" t="s">
        <v>213</v>
      </c>
      <c r="F276" s="150"/>
      <c r="G276" s="160" t="s">
        <v>316</v>
      </c>
      <c r="H276" s="150"/>
      <c r="I276" s="150"/>
      <c r="J276" s="160" t="s">
        <v>603</v>
      </c>
      <c r="K276" s="150"/>
      <c r="L276" s="149"/>
      <c r="M276" s="149"/>
      <c r="N276" s="157"/>
      <c r="O276" s="161"/>
      <c r="P276" s="150"/>
      <c r="Q276" s="150"/>
    </row>
    <row r="277">
      <c r="A277" s="157" t="b">
        <v>0</v>
      </c>
      <c r="B277" s="150"/>
      <c r="C277" s="151" t="s">
        <v>414</v>
      </c>
      <c r="D277" s="150"/>
      <c r="E277" s="160" t="s">
        <v>213</v>
      </c>
      <c r="F277" s="150"/>
      <c r="G277" s="160" t="s">
        <v>316</v>
      </c>
      <c r="H277" s="150"/>
      <c r="I277" s="150"/>
      <c r="J277" s="160" t="s">
        <v>604</v>
      </c>
      <c r="K277" s="150"/>
      <c r="L277" s="149"/>
      <c r="M277" s="149"/>
      <c r="N277" s="157"/>
      <c r="O277" s="161"/>
      <c r="P277" s="150"/>
      <c r="Q277" s="150"/>
    </row>
    <row r="278">
      <c r="A278" s="157" t="b">
        <v>0</v>
      </c>
      <c r="B278" s="150"/>
      <c r="C278" s="151" t="s">
        <v>414</v>
      </c>
      <c r="D278" s="150"/>
      <c r="E278" s="160" t="s">
        <v>213</v>
      </c>
      <c r="F278" s="150"/>
      <c r="G278" s="160" t="s">
        <v>316</v>
      </c>
      <c r="H278" s="150"/>
      <c r="I278" s="150"/>
      <c r="J278" s="160" t="s">
        <v>604</v>
      </c>
      <c r="K278" s="150"/>
      <c r="L278" s="149"/>
      <c r="M278" s="149"/>
      <c r="N278" s="157"/>
      <c r="O278" s="161"/>
      <c r="P278" s="150"/>
      <c r="Q278" s="150"/>
    </row>
    <row r="279">
      <c r="A279" s="157" t="b">
        <v>0</v>
      </c>
      <c r="B279" s="150"/>
      <c r="C279" s="151" t="s">
        <v>414</v>
      </c>
      <c r="D279" s="150"/>
      <c r="E279" s="160" t="s">
        <v>213</v>
      </c>
      <c r="F279" s="150"/>
      <c r="G279" s="160" t="s">
        <v>316</v>
      </c>
      <c r="H279" s="150"/>
      <c r="I279" s="150"/>
      <c r="J279" s="160" t="s">
        <v>604</v>
      </c>
      <c r="K279" s="150"/>
      <c r="L279" s="149"/>
      <c r="M279" s="149"/>
      <c r="N279" s="157"/>
      <c r="O279" s="161"/>
      <c r="P279" s="150"/>
      <c r="Q279" s="150"/>
    </row>
    <row r="280">
      <c r="A280" s="157" t="b">
        <v>0</v>
      </c>
      <c r="B280" s="150"/>
      <c r="C280" s="151" t="s">
        <v>414</v>
      </c>
      <c r="D280" s="150"/>
      <c r="E280" s="160" t="s">
        <v>213</v>
      </c>
      <c r="F280" s="150"/>
      <c r="G280" s="160" t="s">
        <v>317</v>
      </c>
      <c r="H280" s="150"/>
      <c r="I280" s="150"/>
      <c r="J280" s="160" t="s">
        <v>605</v>
      </c>
      <c r="K280" s="150"/>
      <c r="L280" s="149"/>
      <c r="M280" s="149"/>
      <c r="N280" s="157"/>
      <c r="O280" s="161"/>
      <c r="P280" s="150"/>
      <c r="Q280" s="150"/>
    </row>
    <row r="281">
      <c r="A281" s="157" t="b">
        <v>0</v>
      </c>
      <c r="B281" s="150"/>
      <c r="C281" s="151" t="s">
        <v>414</v>
      </c>
      <c r="D281" s="150"/>
      <c r="E281" s="160" t="s">
        <v>213</v>
      </c>
      <c r="F281" s="150"/>
      <c r="G281" s="160" t="s">
        <v>317</v>
      </c>
      <c r="H281" s="150"/>
      <c r="I281" s="150"/>
      <c r="J281" s="160" t="s">
        <v>605</v>
      </c>
      <c r="K281" s="150"/>
      <c r="L281" s="149"/>
      <c r="M281" s="149"/>
      <c r="N281" s="157"/>
      <c r="O281" s="161"/>
      <c r="P281" s="150"/>
      <c r="Q281" s="150"/>
    </row>
    <row r="282">
      <c r="A282" s="157" t="b">
        <v>0</v>
      </c>
      <c r="B282" s="150"/>
      <c r="C282" s="151" t="s">
        <v>414</v>
      </c>
      <c r="D282" s="150"/>
      <c r="E282" s="160" t="s">
        <v>213</v>
      </c>
      <c r="F282" s="150"/>
      <c r="G282" s="160" t="s">
        <v>317</v>
      </c>
      <c r="H282" s="150"/>
      <c r="I282" s="150"/>
      <c r="J282" s="160" t="s">
        <v>606</v>
      </c>
      <c r="K282" s="150"/>
      <c r="L282" s="149"/>
      <c r="M282" s="149"/>
      <c r="N282" s="157"/>
      <c r="O282" s="161"/>
      <c r="P282" s="150"/>
      <c r="Q282" s="150"/>
    </row>
    <row r="283">
      <c r="A283" s="157" t="b">
        <v>0</v>
      </c>
      <c r="B283" s="150"/>
      <c r="C283" s="151" t="s">
        <v>414</v>
      </c>
      <c r="D283" s="150"/>
      <c r="E283" s="160" t="s">
        <v>213</v>
      </c>
      <c r="F283" s="150"/>
      <c r="G283" s="160" t="s">
        <v>317</v>
      </c>
      <c r="H283" s="150"/>
      <c r="I283" s="150"/>
      <c r="J283" s="160" t="s">
        <v>606</v>
      </c>
      <c r="K283" s="150"/>
      <c r="L283" s="149"/>
      <c r="M283" s="149"/>
      <c r="N283" s="157"/>
      <c r="O283" s="161"/>
      <c r="P283" s="150"/>
      <c r="Q283" s="150"/>
    </row>
    <row r="284">
      <c r="A284" s="157" t="b">
        <v>0</v>
      </c>
      <c r="B284" s="150"/>
      <c r="C284" s="151" t="s">
        <v>414</v>
      </c>
      <c r="D284" s="150"/>
      <c r="E284" s="160" t="s">
        <v>213</v>
      </c>
      <c r="F284" s="150"/>
      <c r="G284" s="160" t="s">
        <v>317</v>
      </c>
      <c r="H284" s="150"/>
      <c r="I284" s="150"/>
      <c r="J284" s="160" t="s">
        <v>607</v>
      </c>
      <c r="K284" s="150"/>
      <c r="L284" s="149"/>
      <c r="M284" s="149"/>
      <c r="N284" s="157"/>
      <c r="O284" s="161"/>
      <c r="P284" s="150"/>
      <c r="Q284" s="150"/>
    </row>
    <row r="285">
      <c r="A285" s="157" t="b">
        <v>0</v>
      </c>
      <c r="B285" s="150"/>
      <c r="C285" s="151" t="s">
        <v>414</v>
      </c>
      <c r="D285" s="150"/>
      <c r="E285" s="160" t="s">
        <v>213</v>
      </c>
      <c r="F285" s="150"/>
      <c r="G285" s="160" t="s">
        <v>318</v>
      </c>
      <c r="H285" s="150"/>
      <c r="I285" s="150"/>
      <c r="J285" s="160" t="s">
        <v>608</v>
      </c>
      <c r="K285" s="150"/>
      <c r="L285" s="149"/>
      <c r="M285" s="149"/>
      <c r="N285" s="157"/>
      <c r="O285" s="161"/>
      <c r="P285" s="150"/>
      <c r="Q285" s="150"/>
    </row>
    <row r="286">
      <c r="A286" s="157" t="b">
        <v>0</v>
      </c>
      <c r="B286" s="150"/>
      <c r="C286" s="151" t="s">
        <v>414</v>
      </c>
      <c r="D286" s="150"/>
      <c r="E286" s="160" t="s">
        <v>213</v>
      </c>
      <c r="F286" s="150"/>
      <c r="G286" s="160" t="s">
        <v>318</v>
      </c>
      <c r="H286" s="150"/>
      <c r="I286" s="150"/>
      <c r="J286" s="160" t="s">
        <v>609</v>
      </c>
      <c r="K286" s="150"/>
      <c r="L286" s="149"/>
      <c r="M286" s="149"/>
      <c r="N286" s="157"/>
      <c r="O286" s="161"/>
      <c r="P286" s="150"/>
      <c r="Q286" s="150"/>
    </row>
    <row r="287">
      <c r="A287" s="157" t="b">
        <v>0</v>
      </c>
      <c r="B287" s="150"/>
      <c r="C287" s="151" t="s">
        <v>414</v>
      </c>
      <c r="D287" s="150"/>
      <c r="E287" s="160" t="s">
        <v>213</v>
      </c>
      <c r="F287" s="150"/>
      <c r="G287" s="160" t="s">
        <v>318</v>
      </c>
      <c r="H287" s="150"/>
      <c r="I287" s="150"/>
      <c r="J287" s="160" t="s">
        <v>221</v>
      </c>
      <c r="K287" s="150"/>
      <c r="L287" s="149"/>
      <c r="M287" s="149"/>
      <c r="N287" s="157"/>
      <c r="O287" s="161"/>
      <c r="P287" s="150"/>
      <c r="Q287" s="150"/>
    </row>
    <row r="288">
      <c r="A288" s="157" t="b">
        <v>0</v>
      </c>
      <c r="B288" s="150"/>
      <c r="C288" s="151" t="s">
        <v>414</v>
      </c>
      <c r="D288" s="150"/>
      <c r="E288" s="162" t="s">
        <v>215</v>
      </c>
      <c r="F288" s="150"/>
      <c r="G288" s="162" t="s">
        <v>319</v>
      </c>
      <c r="H288" s="150"/>
      <c r="I288" s="150"/>
      <c r="J288" s="162" t="s">
        <v>610</v>
      </c>
      <c r="K288" s="150"/>
      <c r="L288" s="149"/>
      <c r="M288" s="149"/>
      <c r="N288" s="157"/>
      <c r="O288" s="161"/>
      <c r="P288" s="150"/>
      <c r="Q288" s="150"/>
    </row>
    <row r="289">
      <c r="A289" s="157" t="b">
        <v>0</v>
      </c>
      <c r="B289" s="150"/>
      <c r="C289" s="151" t="s">
        <v>414</v>
      </c>
      <c r="D289" s="150"/>
      <c r="E289" s="162" t="s">
        <v>215</v>
      </c>
      <c r="F289" s="150"/>
      <c r="G289" s="162" t="s">
        <v>319</v>
      </c>
      <c r="H289" s="150"/>
      <c r="I289" s="150"/>
      <c r="J289" s="162" t="s">
        <v>611</v>
      </c>
      <c r="K289" s="150"/>
      <c r="L289" s="149"/>
      <c r="M289" s="149"/>
      <c r="N289" s="157"/>
      <c r="O289" s="161"/>
      <c r="P289" s="150"/>
      <c r="Q289" s="150"/>
    </row>
    <row r="290">
      <c r="A290" s="157" t="b">
        <v>0</v>
      </c>
      <c r="B290" s="150"/>
      <c r="C290" s="151" t="s">
        <v>414</v>
      </c>
      <c r="D290" s="150"/>
      <c r="E290" s="162" t="s">
        <v>215</v>
      </c>
      <c r="F290" s="150"/>
      <c r="G290" s="162" t="s">
        <v>319</v>
      </c>
      <c r="H290" s="150"/>
      <c r="I290" s="150"/>
      <c r="J290" s="162" t="s">
        <v>612</v>
      </c>
      <c r="K290" s="150"/>
      <c r="L290" s="149"/>
      <c r="M290" s="149"/>
      <c r="N290" s="157"/>
      <c r="O290" s="161"/>
      <c r="P290" s="150"/>
      <c r="Q290" s="150"/>
    </row>
    <row r="291">
      <c r="A291" s="157" t="b">
        <v>0</v>
      </c>
      <c r="B291" s="150"/>
      <c r="C291" s="151" t="s">
        <v>414</v>
      </c>
      <c r="D291" s="150"/>
      <c r="E291" s="162" t="s">
        <v>215</v>
      </c>
      <c r="F291" s="150"/>
      <c r="G291" s="162" t="s">
        <v>319</v>
      </c>
      <c r="H291" s="150"/>
      <c r="I291" s="150"/>
      <c r="J291" s="162" t="s">
        <v>613</v>
      </c>
      <c r="K291" s="150"/>
      <c r="L291" s="149"/>
      <c r="M291" s="149"/>
      <c r="N291" s="157"/>
      <c r="O291" s="161"/>
      <c r="P291" s="150"/>
      <c r="Q291" s="150"/>
    </row>
    <row r="292">
      <c r="A292" s="157" t="b">
        <v>0</v>
      </c>
      <c r="B292" s="150"/>
      <c r="C292" s="151" t="s">
        <v>414</v>
      </c>
      <c r="D292" s="150"/>
      <c r="E292" s="162" t="s">
        <v>215</v>
      </c>
      <c r="F292" s="150"/>
      <c r="G292" s="162" t="s">
        <v>319</v>
      </c>
      <c r="H292" s="150"/>
      <c r="I292" s="150"/>
      <c r="J292" s="162" t="s">
        <v>614</v>
      </c>
      <c r="K292" s="150"/>
      <c r="L292" s="149"/>
      <c r="M292" s="149"/>
      <c r="N292" s="157"/>
      <c r="O292" s="161"/>
      <c r="P292" s="150"/>
      <c r="Q292" s="150"/>
    </row>
    <row r="293">
      <c r="A293" s="157" t="b">
        <v>0</v>
      </c>
      <c r="B293" s="150"/>
      <c r="C293" s="151" t="s">
        <v>414</v>
      </c>
      <c r="D293" s="150"/>
      <c r="E293" s="162" t="s">
        <v>215</v>
      </c>
      <c r="F293" s="150"/>
      <c r="G293" s="162" t="s">
        <v>319</v>
      </c>
      <c r="H293" s="150"/>
      <c r="I293" s="150"/>
      <c r="J293" s="162" t="s">
        <v>615</v>
      </c>
      <c r="K293" s="150"/>
      <c r="L293" s="149"/>
      <c r="M293" s="149"/>
      <c r="N293" s="157"/>
      <c r="O293" s="161"/>
      <c r="P293" s="150"/>
      <c r="Q293" s="150"/>
    </row>
    <row r="294">
      <c r="A294" s="157" t="b">
        <v>0</v>
      </c>
      <c r="B294" s="150"/>
      <c r="C294" s="151" t="s">
        <v>414</v>
      </c>
      <c r="D294" s="150"/>
      <c r="E294" s="162" t="s">
        <v>215</v>
      </c>
      <c r="F294" s="150"/>
      <c r="G294" s="162" t="s">
        <v>320</v>
      </c>
      <c r="H294" s="150"/>
      <c r="I294" s="150"/>
      <c r="J294" s="162" t="s">
        <v>610</v>
      </c>
      <c r="K294" s="150"/>
      <c r="L294" s="149"/>
      <c r="M294" s="149"/>
      <c r="N294" s="157"/>
      <c r="O294" s="161"/>
      <c r="P294" s="150"/>
      <c r="Q294" s="150"/>
    </row>
    <row r="295">
      <c r="A295" s="157" t="b">
        <v>0</v>
      </c>
      <c r="B295" s="150"/>
      <c r="C295" s="151" t="s">
        <v>414</v>
      </c>
      <c r="D295" s="150"/>
      <c r="E295" s="162" t="s">
        <v>215</v>
      </c>
      <c r="F295" s="150"/>
      <c r="G295" s="162" t="s">
        <v>320</v>
      </c>
      <c r="H295" s="150"/>
      <c r="I295" s="150"/>
      <c r="J295" s="162" t="s">
        <v>616</v>
      </c>
      <c r="K295" s="150"/>
      <c r="L295" s="149"/>
      <c r="M295" s="149"/>
      <c r="N295" s="157"/>
      <c r="O295" s="161"/>
      <c r="P295" s="150"/>
      <c r="Q295" s="150"/>
    </row>
    <row r="296">
      <c r="A296" s="157" t="b">
        <v>0</v>
      </c>
      <c r="B296" s="150"/>
      <c r="C296" s="151" t="s">
        <v>414</v>
      </c>
      <c r="D296" s="150"/>
      <c r="E296" s="162" t="s">
        <v>215</v>
      </c>
      <c r="F296" s="150"/>
      <c r="G296" s="162" t="s">
        <v>320</v>
      </c>
      <c r="H296" s="150"/>
      <c r="I296" s="150"/>
      <c r="J296" s="162" t="s">
        <v>617</v>
      </c>
      <c r="K296" s="150"/>
      <c r="L296" s="149"/>
      <c r="M296" s="149"/>
      <c r="N296" s="157"/>
      <c r="O296" s="161"/>
      <c r="P296" s="150"/>
      <c r="Q296" s="150"/>
    </row>
    <row r="297">
      <c r="A297" s="157" t="b">
        <v>0</v>
      </c>
      <c r="B297" s="150"/>
      <c r="C297" s="151" t="s">
        <v>414</v>
      </c>
      <c r="D297" s="150"/>
      <c r="E297" s="162" t="s">
        <v>215</v>
      </c>
      <c r="F297" s="150"/>
      <c r="G297" s="162" t="s">
        <v>320</v>
      </c>
      <c r="H297" s="150"/>
      <c r="I297" s="150"/>
      <c r="J297" s="162" t="s">
        <v>618</v>
      </c>
      <c r="K297" s="150"/>
      <c r="L297" s="149"/>
      <c r="M297" s="149"/>
      <c r="N297" s="157"/>
      <c r="O297" s="161"/>
      <c r="P297" s="150"/>
      <c r="Q297" s="150"/>
    </row>
    <row r="298">
      <c r="A298" s="157" t="b">
        <v>0</v>
      </c>
      <c r="B298" s="150"/>
      <c r="C298" s="151" t="s">
        <v>414</v>
      </c>
      <c r="D298" s="150"/>
      <c r="E298" s="162" t="s">
        <v>215</v>
      </c>
      <c r="F298" s="150"/>
      <c r="G298" s="162" t="s">
        <v>321</v>
      </c>
      <c r="H298" s="150"/>
      <c r="I298" s="150"/>
      <c r="J298" s="162" t="s">
        <v>619</v>
      </c>
      <c r="K298" s="150"/>
      <c r="L298" s="149"/>
      <c r="M298" s="149"/>
      <c r="N298" s="157"/>
      <c r="O298" s="161"/>
      <c r="P298" s="150"/>
      <c r="Q298" s="150"/>
    </row>
    <row r="299">
      <c r="A299" s="157" t="b">
        <v>0</v>
      </c>
      <c r="B299" s="150"/>
      <c r="C299" s="151" t="s">
        <v>414</v>
      </c>
      <c r="D299" s="150"/>
      <c r="E299" s="162" t="s">
        <v>215</v>
      </c>
      <c r="F299" s="150"/>
      <c r="G299" s="162" t="s">
        <v>321</v>
      </c>
      <c r="H299" s="150"/>
      <c r="I299" s="150"/>
      <c r="J299" s="162" t="s">
        <v>620</v>
      </c>
      <c r="K299" s="150"/>
      <c r="L299" s="149"/>
      <c r="M299" s="149"/>
      <c r="N299" s="157"/>
      <c r="O299" s="161"/>
      <c r="P299" s="150"/>
      <c r="Q299" s="150"/>
    </row>
    <row r="300">
      <c r="A300" s="157" t="b">
        <v>0</v>
      </c>
      <c r="B300" s="150"/>
      <c r="C300" s="151" t="s">
        <v>414</v>
      </c>
      <c r="D300" s="150"/>
      <c r="E300" s="162" t="s">
        <v>215</v>
      </c>
      <c r="F300" s="150"/>
      <c r="G300" s="162" t="s">
        <v>322</v>
      </c>
      <c r="H300" s="150"/>
      <c r="I300" s="150"/>
      <c r="J300" s="162" t="s">
        <v>621</v>
      </c>
      <c r="K300" s="150"/>
      <c r="L300" s="149"/>
      <c r="M300" s="149"/>
      <c r="N300" s="157"/>
      <c r="O300" s="161"/>
      <c r="P300" s="150"/>
      <c r="Q300" s="150"/>
    </row>
    <row r="301">
      <c r="A301" s="157" t="b">
        <v>0</v>
      </c>
      <c r="B301" s="150"/>
      <c r="C301" s="151" t="s">
        <v>414</v>
      </c>
      <c r="D301" s="150"/>
      <c r="E301" s="162" t="s">
        <v>215</v>
      </c>
      <c r="F301" s="150"/>
      <c r="G301" s="162" t="s">
        <v>322</v>
      </c>
      <c r="H301" s="150"/>
      <c r="I301" s="150"/>
      <c r="J301" s="162" t="s">
        <v>622</v>
      </c>
      <c r="K301" s="150"/>
      <c r="L301" s="149"/>
      <c r="M301" s="149"/>
      <c r="N301" s="157"/>
      <c r="O301" s="161"/>
      <c r="P301" s="150"/>
      <c r="Q301" s="150"/>
    </row>
    <row r="302">
      <c r="A302" s="157" t="b">
        <v>0</v>
      </c>
      <c r="B302" s="150"/>
      <c r="C302" s="151" t="s">
        <v>414</v>
      </c>
      <c r="D302" s="150"/>
      <c r="E302" s="162" t="s">
        <v>215</v>
      </c>
      <c r="F302" s="150"/>
      <c r="G302" s="162" t="s">
        <v>322</v>
      </c>
      <c r="H302" s="150"/>
      <c r="I302" s="150"/>
      <c r="J302" s="162" t="s">
        <v>623</v>
      </c>
      <c r="K302" s="150"/>
      <c r="L302" s="149"/>
      <c r="M302" s="149"/>
      <c r="N302" s="157"/>
      <c r="O302" s="161"/>
      <c r="P302" s="150"/>
      <c r="Q302" s="150"/>
    </row>
    <row r="303">
      <c r="A303" s="157" t="b">
        <v>0</v>
      </c>
      <c r="B303" s="150"/>
      <c r="C303" s="151" t="s">
        <v>414</v>
      </c>
      <c r="D303" s="150"/>
      <c r="E303" s="162" t="s">
        <v>215</v>
      </c>
      <c r="F303" s="150"/>
      <c r="G303" s="162" t="s">
        <v>322</v>
      </c>
      <c r="H303" s="150"/>
      <c r="I303" s="150"/>
      <c r="J303" s="162" t="s">
        <v>624</v>
      </c>
      <c r="K303" s="150"/>
      <c r="L303" s="149"/>
      <c r="M303" s="149"/>
      <c r="N303" s="157"/>
      <c r="O303" s="161"/>
      <c r="P303" s="150"/>
      <c r="Q303" s="150"/>
    </row>
    <row r="304">
      <c r="A304" s="157" t="b">
        <v>0</v>
      </c>
      <c r="B304" s="150"/>
      <c r="C304" s="151" t="s">
        <v>414</v>
      </c>
      <c r="D304" s="150"/>
      <c r="E304" s="162" t="s">
        <v>215</v>
      </c>
      <c r="F304" s="150"/>
      <c r="G304" s="162" t="s">
        <v>322</v>
      </c>
      <c r="H304" s="150"/>
      <c r="I304" s="150"/>
      <c r="J304" s="162" t="s">
        <v>625</v>
      </c>
      <c r="K304" s="150"/>
      <c r="L304" s="149"/>
      <c r="M304" s="149"/>
      <c r="N304" s="157"/>
      <c r="O304" s="161"/>
      <c r="P304" s="150"/>
      <c r="Q304" s="150"/>
    </row>
    <row r="305">
      <c r="A305" s="157" t="b">
        <v>0</v>
      </c>
      <c r="B305" s="150"/>
      <c r="C305" s="151" t="s">
        <v>414</v>
      </c>
      <c r="D305" s="150"/>
      <c r="E305" s="162" t="s">
        <v>215</v>
      </c>
      <c r="F305" s="150"/>
      <c r="G305" s="162" t="s">
        <v>322</v>
      </c>
      <c r="H305" s="150"/>
      <c r="I305" s="150"/>
      <c r="J305" s="162" t="s">
        <v>626</v>
      </c>
      <c r="K305" s="150"/>
      <c r="L305" s="149"/>
      <c r="M305" s="149"/>
      <c r="N305" s="157"/>
      <c r="O305" s="161"/>
      <c r="P305" s="150"/>
      <c r="Q305" s="150"/>
    </row>
    <row r="306">
      <c r="A306" s="157" t="b">
        <v>0</v>
      </c>
      <c r="B306" s="150"/>
      <c r="C306" s="151" t="s">
        <v>414</v>
      </c>
      <c r="D306" s="150"/>
      <c r="E306" s="162" t="s">
        <v>215</v>
      </c>
      <c r="F306" s="150"/>
      <c r="G306" s="162" t="s">
        <v>322</v>
      </c>
      <c r="H306" s="150"/>
      <c r="I306" s="150"/>
      <c r="J306" s="162" t="s">
        <v>627</v>
      </c>
      <c r="K306" s="150"/>
      <c r="L306" s="149"/>
      <c r="M306" s="149"/>
      <c r="N306" s="157"/>
      <c r="O306" s="161"/>
      <c r="P306" s="150"/>
      <c r="Q306" s="150"/>
    </row>
    <row r="307">
      <c r="A307" s="157" t="b">
        <v>0</v>
      </c>
      <c r="B307" s="150"/>
      <c r="C307" s="151" t="s">
        <v>414</v>
      </c>
      <c r="D307" s="150"/>
      <c r="E307" s="162" t="s">
        <v>215</v>
      </c>
      <c r="F307" s="150"/>
      <c r="G307" s="162" t="s">
        <v>322</v>
      </c>
      <c r="H307" s="150"/>
      <c r="I307" s="150"/>
      <c r="J307" s="162" t="s">
        <v>628</v>
      </c>
      <c r="K307" s="150"/>
      <c r="L307" s="149"/>
      <c r="M307" s="149"/>
      <c r="N307" s="157"/>
      <c r="O307" s="161"/>
      <c r="P307" s="150"/>
      <c r="Q307" s="150"/>
    </row>
    <row r="308">
      <c r="A308" s="157" t="b">
        <v>0</v>
      </c>
      <c r="B308" s="150"/>
      <c r="C308" s="151" t="s">
        <v>414</v>
      </c>
      <c r="D308" s="150"/>
      <c r="E308" s="162" t="s">
        <v>215</v>
      </c>
      <c r="F308" s="150"/>
      <c r="G308" s="162" t="s">
        <v>322</v>
      </c>
      <c r="H308" s="150"/>
      <c r="I308" s="150"/>
      <c r="J308" s="162" t="s">
        <v>629</v>
      </c>
      <c r="K308" s="150"/>
      <c r="L308" s="149"/>
      <c r="M308" s="149"/>
      <c r="N308" s="157"/>
      <c r="O308" s="161"/>
      <c r="P308" s="150"/>
      <c r="Q308" s="150"/>
    </row>
    <row r="309">
      <c r="A309" s="157" t="b">
        <v>0</v>
      </c>
      <c r="B309" s="150"/>
      <c r="C309" s="151" t="s">
        <v>414</v>
      </c>
      <c r="D309" s="150"/>
      <c r="E309" s="162" t="s">
        <v>215</v>
      </c>
      <c r="F309" s="150"/>
      <c r="G309" s="162" t="s">
        <v>322</v>
      </c>
      <c r="H309" s="150"/>
      <c r="I309" s="150"/>
      <c r="J309" s="162" t="s">
        <v>630</v>
      </c>
      <c r="K309" s="150"/>
      <c r="L309" s="149"/>
      <c r="M309" s="149"/>
      <c r="N309" s="157"/>
      <c r="O309" s="161"/>
      <c r="P309" s="150"/>
      <c r="Q309" s="150"/>
    </row>
    <row r="310">
      <c r="A310" s="157" t="b">
        <v>0</v>
      </c>
      <c r="B310" s="150"/>
      <c r="C310" s="151" t="s">
        <v>414</v>
      </c>
      <c r="D310" s="150"/>
      <c r="E310" s="162" t="s">
        <v>215</v>
      </c>
      <c r="F310" s="150"/>
      <c r="G310" s="162" t="s">
        <v>322</v>
      </c>
      <c r="H310" s="150"/>
      <c r="I310" s="150"/>
      <c r="J310" s="162" t="s">
        <v>631</v>
      </c>
      <c r="K310" s="150"/>
      <c r="L310" s="149"/>
      <c r="M310" s="149"/>
      <c r="N310" s="157"/>
      <c r="O310" s="161"/>
      <c r="P310" s="150"/>
      <c r="Q310" s="150"/>
    </row>
    <row r="311">
      <c r="A311" s="157" t="b">
        <v>0</v>
      </c>
      <c r="B311" s="150"/>
      <c r="C311" s="151" t="s">
        <v>414</v>
      </c>
      <c r="D311" s="150"/>
      <c r="E311" s="162" t="s">
        <v>215</v>
      </c>
      <c r="F311" s="150"/>
      <c r="G311" s="162" t="s">
        <v>322</v>
      </c>
      <c r="H311" s="150"/>
      <c r="I311" s="150"/>
      <c r="J311" s="162" t="s">
        <v>632</v>
      </c>
      <c r="K311" s="150"/>
      <c r="L311" s="149"/>
      <c r="M311" s="149"/>
      <c r="N311" s="157"/>
      <c r="O311" s="161"/>
      <c r="P311" s="150"/>
      <c r="Q311" s="150"/>
    </row>
    <row r="312">
      <c r="A312" s="157" t="b">
        <v>0</v>
      </c>
      <c r="B312" s="150"/>
      <c r="C312" s="151" t="s">
        <v>414</v>
      </c>
      <c r="D312" s="150"/>
      <c r="E312" s="162" t="s">
        <v>215</v>
      </c>
      <c r="F312" s="150"/>
      <c r="G312" s="162" t="s">
        <v>323</v>
      </c>
      <c r="H312" s="150"/>
      <c r="I312" s="150"/>
      <c r="J312" s="162" t="s">
        <v>633</v>
      </c>
      <c r="K312" s="150"/>
      <c r="L312" s="149"/>
      <c r="M312" s="149"/>
      <c r="N312" s="157"/>
      <c r="O312" s="161"/>
      <c r="P312" s="150"/>
      <c r="Q312" s="150"/>
    </row>
    <row r="313">
      <c r="A313" s="157" t="b">
        <v>0</v>
      </c>
      <c r="B313" s="150"/>
      <c r="C313" s="151" t="s">
        <v>414</v>
      </c>
      <c r="D313" s="150"/>
      <c r="E313" s="162" t="s">
        <v>215</v>
      </c>
      <c r="F313" s="150"/>
      <c r="G313" s="162" t="s">
        <v>323</v>
      </c>
      <c r="H313" s="150"/>
      <c r="I313" s="150"/>
      <c r="J313" s="162" t="s">
        <v>634</v>
      </c>
      <c r="K313" s="150"/>
      <c r="L313" s="149"/>
      <c r="M313" s="149"/>
      <c r="N313" s="157"/>
      <c r="O313" s="161"/>
      <c r="P313" s="150"/>
      <c r="Q313" s="150"/>
    </row>
    <row r="314">
      <c r="A314" s="157" t="b">
        <v>0</v>
      </c>
      <c r="B314" s="150"/>
      <c r="C314" s="151" t="s">
        <v>414</v>
      </c>
      <c r="D314" s="150"/>
      <c r="E314" s="162" t="s">
        <v>215</v>
      </c>
      <c r="F314" s="150"/>
      <c r="G314" s="162" t="s">
        <v>323</v>
      </c>
      <c r="H314" s="150"/>
      <c r="I314" s="150"/>
      <c r="J314" s="162" t="s">
        <v>635</v>
      </c>
      <c r="K314" s="150"/>
      <c r="L314" s="149"/>
      <c r="M314" s="149"/>
      <c r="N314" s="157"/>
      <c r="O314" s="161"/>
      <c r="P314" s="150"/>
      <c r="Q314" s="150"/>
    </row>
    <row r="315">
      <c r="A315" s="157" t="b">
        <v>0</v>
      </c>
      <c r="B315" s="150"/>
      <c r="C315" s="151" t="s">
        <v>414</v>
      </c>
      <c r="D315" s="150"/>
      <c r="E315" s="162" t="s">
        <v>215</v>
      </c>
      <c r="F315" s="150"/>
      <c r="G315" s="162" t="s">
        <v>323</v>
      </c>
      <c r="H315" s="150"/>
      <c r="I315" s="150"/>
      <c r="J315" s="162" t="s">
        <v>636</v>
      </c>
      <c r="K315" s="150"/>
      <c r="L315" s="149"/>
      <c r="M315" s="149"/>
      <c r="N315" s="157"/>
      <c r="O315" s="161"/>
      <c r="P315" s="150"/>
      <c r="Q315" s="150"/>
    </row>
    <row r="316">
      <c r="A316" s="157" t="b">
        <v>0</v>
      </c>
      <c r="B316" s="150"/>
      <c r="C316" s="151" t="s">
        <v>414</v>
      </c>
      <c r="D316" s="150"/>
      <c r="E316" s="162" t="s">
        <v>215</v>
      </c>
      <c r="F316" s="150"/>
      <c r="G316" s="162" t="s">
        <v>323</v>
      </c>
      <c r="H316" s="150"/>
      <c r="I316" s="150"/>
      <c r="J316" s="162" t="s">
        <v>637</v>
      </c>
      <c r="K316" s="150"/>
      <c r="L316" s="149"/>
      <c r="M316" s="149"/>
      <c r="N316" s="157"/>
      <c r="O316" s="161"/>
      <c r="P316" s="150"/>
      <c r="Q316" s="150"/>
    </row>
    <row r="317">
      <c r="A317" s="157" t="b">
        <v>0</v>
      </c>
      <c r="B317" s="150"/>
      <c r="C317" s="151" t="s">
        <v>414</v>
      </c>
      <c r="D317" s="150"/>
      <c r="E317" s="162" t="s">
        <v>215</v>
      </c>
      <c r="F317" s="150"/>
      <c r="G317" s="162" t="s">
        <v>324</v>
      </c>
      <c r="H317" s="150"/>
      <c r="I317" s="150"/>
      <c r="J317" s="162" t="s">
        <v>638</v>
      </c>
      <c r="K317" s="150"/>
      <c r="L317" s="149"/>
      <c r="M317" s="149"/>
      <c r="N317" s="157"/>
      <c r="O317" s="161"/>
      <c r="P317" s="150"/>
      <c r="Q317" s="150"/>
    </row>
    <row r="318">
      <c r="A318" s="157" t="b">
        <v>0</v>
      </c>
      <c r="B318" s="150"/>
      <c r="C318" s="151" t="s">
        <v>414</v>
      </c>
      <c r="D318" s="150"/>
      <c r="E318" s="157" t="s">
        <v>215</v>
      </c>
      <c r="F318" s="150"/>
      <c r="G318" s="164" t="s">
        <v>205</v>
      </c>
      <c r="H318" s="150"/>
      <c r="I318" s="150"/>
      <c r="J318" s="157" t="s">
        <v>639</v>
      </c>
      <c r="K318" s="150"/>
      <c r="L318" s="149"/>
      <c r="M318" s="149"/>
      <c r="N318" s="157" t="s">
        <v>640</v>
      </c>
      <c r="O318" s="157" t="s">
        <v>641</v>
      </c>
      <c r="P318" s="150"/>
      <c r="Q318" s="150"/>
    </row>
    <row r="319">
      <c r="A319" s="157" t="b">
        <v>0</v>
      </c>
      <c r="B319" s="150"/>
      <c r="C319" s="151" t="s">
        <v>414</v>
      </c>
      <c r="D319" s="150"/>
      <c r="E319" s="157" t="s">
        <v>215</v>
      </c>
      <c r="F319" s="150"/>
      <c r="G319" s="157" t="s">
        <v>205</v>
      </c>
      <c r="H319" s="150"/>
      <c r="I319" s="150"/>
      <c r="J319" s="157" t="s">
        <v>642</v>
      </c>
      <c r="K319" s="150"/>
      <c r="L319" s="149"/>
      <c r="M319" s="149"/>
      <c r="N319" s="157"/>
      <c r="O319" s="157"/>
      <c r="P319" s="150"/>
      <c r="Q319" s="150"/>
    </row>
    <row r="320">
      <c r="A320" s="157" t="b">
        <v>0</v>
      </c>
      <c r="B320" s="150"/>
      <c r="C320" s="151" t="s">
        <v>414</v>
      </c>
      <c r="D320" s="150"/>
      <c r="E320" s="157" t="s">
        <v>215</v>
      </c>
      <c r="F320" s="150"/>
      <c r="G320" s="157" t="s">
        <v>205</v>
      </c>
      <c r="H320" s="150"/>
      <c r="I320" s="150"/>
      <c r="J320" s="157" t="s">
        <v>643</v>
      </c>
      <c r="K320" s="150"/>
      <c r="L320" s="149"/>
      <c r="M320" s="149"/>
      <c r="N320" s="157" t="s">
        <v>640</v>
      </c>
      <c r="O320" s="157" t="s">
        <v>644</v>
      </c>
      <c r="P320" s="150"/>
      <c r="Q320" s="150"/>
    </row>
    <row r="321">
      <c r="A321" s="157" t="b">
        <v>0</v>
      </c>
      <c r="B321" s="150"/>
      <c r="C321" s="151" t="s">
        <v>414</v>
      </c>
      <c r="D321" s="150"/>
      <c r="E321" s="157" t="s">
        <v>215</v>
      </c>
      <c r="F321" s="150"/>
      <c r="G321" s="157" t="s">
        <v>205</v>
      </c>
      <c r="H321" s="150"/>
      <c r="I321" s="150"/>
      <c r="J321" s="157" t="s">
        <v>645</v>
      </c>
      <c r="K321" s="150"/>
      <c r="L321" s="149"/>
      <c r="M321" s="149"/>
      <c r="N321" s="157" t="s">
        <v>646</v>
      </c>
      <c r="O321" s="157" t="s">
        <v>647</v>
      </c>
      <c r="P321" s="150"/>
      <c r="Q321" s="150"/>
    </row>
    <row r="322">
      <c r="A322" s="157" t="b">
        <v>0</v>
      </c>
      <c r="B322" s="150"/>
      <c r="C322" s="151" t="s">
        <v>414</v>
      </c>
      <c r="D322" s="150"/>
      <c r="E322" s="157" t="s">
        <v>215</v>
      </c>
      <c r="F322" s="150"/>
      <c r="G322" s="157" t="s">
        <v>205</v>
      </c>
      <c r="H322" s="150"/>
      <c r="I322" s="150"/>
      <c r="J322" s="157" t="s">
        <v>648</v>
      </c>
      <c r="K322" s="150"/>
      <c r="L322" s="149"/>
      <c r="M322" s="149"/>
      <c r="N322" s="157" t="s">
        <v>649</v>
      </c>
      <c r="O322" s="157" t="s">
        <v>650</v>
      </c>
      <c r="P322" s="150"/>
      <c r="Q322" s="150"/>
    </row>
    <row r="323">
      <c r="A323" s="157" t="b">
        <v>0</v>
      </c>
      <c r="B323" s="150"/>
      <c r="C323" s="151" t="s">
        <v>414</v>
      </c>
      <c r="D323" s="150"/>
      <c r="E323" s="157" t="s">
        <v>215</v>
      </c>
      <c r="F323" s="150"/>
      <c r="G323" s="157" t="s">
        <v>205</v>
      </c>
      <c r="H323" s="150"/>
      <c r="I323" s="150"/>
      <c r="J323" s="157" t="s">
        <v>651</v>
      </c>
      <c r="K323" s="150"/>
      <c r="L323" s="149"/>
      <c r="M323" s="149"/>
      <c r="N323" s="157" t="s">
        <v>640</v>
      </c>
      <c r="O323" s="157" t="s">
        <v>641</v>
      </c>
      <c r="P323" s="150"/>
      <c r="Q323" s="150"/>
    </row>
    <row r="324">
      <c r="A324" s="157" t="b">
        <v>0</v>
      </c>
      <c r="B324" s="150"/>
      <c r="C324" s="151" t="s">
        <v>414</v>
      </c>
      <c r="D324" s="150"/>
      <c r="E324" s="157" t="s">
        <v>215</v>
      </c>
      <c r="F324" s="150"/>
      <c r="G324" s="157" t="s">
        <v>205</v>
      </c>
      <c r="H324" s="150"/>
      <c r="I324" s="150"/>
      <c r="J324" s="157" t="s">
        <v>652</v>
      </c>
      <c r="K324" s="150"/>
      <c r="L324" s="149"/>
      <c r="M324" s="149"/>
      <c r="N324" s="157" t="s">
        <v>646</v>
      </c>
      <c r="O324" s="157" t="s">
        <v>653</v>
      </c>
      <c r="P324" s="150"/>
      <c r="Q324" s="150"/>
    </row>
    <row r="325">
      <c r="A325" s="157" t="b">
        <v>0</v>
      </c>
      <c r="B325" s="150"/>
      <c r="C325" s="151" t="s">
        <v>414</v>
      </c>
      <c r="D325" s="150"/>
      <c r="E325" s="157" t="s">
        <v>215</v>
      </c>
      <c r="F325" s="150"/>
      <c r="G325" s="157" t="s">
        <v>205</v>
      </c>
      <c r="H325" s="150"/>
      <c r="I325" s="150"/>
      <c r="J325" s="157" t="s">
        <v>654</v>
      </c>
      <c r="K325" s="150"/>
      <c r="L325" s="149"/>
      <c r="M325" s="149"/>
      <c r="N325" s="157" t="s">
        <v>646</v>
      </c>
      <c r="O325" s="157" t="s">
        <v>655</v>
      </c>
      <c r="P325" s="150"/>
      <c r="Q325" s="150"/>
    </row>
    <row r="326">
      <c r="A326" s="157" t="b">
        <v>0</v>
      </c>
      <c r="B326" s="150"/>
      <c r="C326" s="151" t="s">
        <v>414</v>
      </c>
      <c r="D326" s="150"/>
      <c r="E326" s="157" t="s">
        <v>215</v>
      </c>
      <c r="F326" s="150"/>
      <c r="G326" s="157" t="s">
        <v>205</v>
      </c>
      <c r="H326" s="150"/>
      <c r="I326" s="150"/>
      <c r="J326" s="157" t="s">
        <v>656</v>
      </c>
      <c r="K326" s="150"/>
      <c r="L326" s="149"/>
      <c r="M326" s="149"/>
      <c r="N326" s="157" t="s">
        <v>640</v>
      </c>
      <c r="O326" s="157" t="s">
        <v>657</v>
      </c>
      <c r="P326" s="150"/>
      <c r="Q326" s="150"/>
    </row>
    <row r="327">
      <c r="A327" s="157" t="b">
        <v>0</v>
      </c>
      <c r="B327" s="150"/>
      <c r="C327" s="151" t="s">
        <v>414</v>
      </c>
      <c r="D327" s="150"/>
      <c r="E327" s="157" t="s">
        <v>215</v>
      </c>
      <c r="F327" s="150"/>
      <c r="G327" s="157" t="s">
        <v>205</v>
      </c>
      <c r="H327" s="150"/>
      <c r="I327" s="150"/>
      <c r="J327" s="157" t="s">
        <v>658</v>
      </c>
      <c r="K327" s="150"/>
      <c r="L327" s="149"/>
      <c r="M327" s="149"/>
      <c r="N327" s="157" t="s">
        <v>646</v>
      </c>
      <c r="O327" s="157" t="s">
        <v>659</v>
      </c>
      <c r="P327" s="150"/>
      <c r="Q327" s="150"/>
    </row>
    <row r="328">
      <c r="A328" s="157" t="b">
        <v>0</v>
      </c>
      <c r="B328" s="150"/>
      <c r="C328" s="151" t="s">
        <v>414</v>
      </c>
      <c r="D328" s="150"/>
      <c r="E328" s="157" t="s">
        <v>215</v>
      </c>
      <c r="F328" s="150"/>
      <c r="G328" s="157" t="s">
        <v>205</v>
      </c>
      <c r="H328" s="150"/>
      <c r="I328" s="150"/>
      <c r="J328" s="157" t="s">
        <v>660</v>
      </c>
      <c r="K328" s="150"/>
      <c r="L328" s="149"/>
      <c r="M328" s="149"/>
      <c r="N328" s="157" t="s">
        <v>649</v>
      </c>
      <c r="O328" s="157" t="s">
        <v>661</v>
      </c>
      <c r="P328" s="150"/>
      <c r="Q328" s="150"/>
    </row>
    <row r="329">
      <c r="A329" s="157" t="b">
        <v>0</v>
      </c>
      <c r="B329" s="150"/>
      <c r="C329" s="151" t="s">
        <v>414</v>
      </c>
      <c r="D329" s="150"/>
      <c r="E329" s="157" t="s">
        <v>215</v>
      </c>
      <c r="F329" s="150"/>
      <c r="G329" s="157" t="s">
        <v>205</v>
      </c>
      <c r="H329" s="150"/>
      <c r="I329" s="150"/>
      <c r="J329" s="157" t="s">
        <v>662</v>
      </c>
      <c r="K329" s="150"/>
      <c r="L329" s="149"/>
      <c r="M329" s="149"/>
      <c r="N329" s="157" t="s">
        <v>646</v>
      </c>
      <c r="O329" s="157" t="s">
        <v>663</v>
      </c>
      <c r="P329" s="150"/>
      <c r="Q329" s="150"/>
    </row>
    <row r="330">
      <c r="A330" s="157" t="b">
        <v>0</v>
      </c>
      <c r="B330" s="150"/>
      <c r="C330" s="151" t="s">
        <v>414</v>
      </c>
      <c r="D330" s="150"/>
      <c r="E330" s="157" t="s">
        <v>215</v>
      </c>
      <c r="F330" s="150"/>
      <c r="G330" s="164" t="s">
        <v>325</v>
      </c>
      <c r="H330" s="150"/>
      <c r="I330" s="150"/>
      <c r="J330" s="157" t="s">
        <v>664</v>
      </c>
      <c r="K330" s="150"/>
      <c r="L330" s="149"/>
      <c r="M330" s="149"/>
      <c r="N330" s="157" t="s">
        <v>646</v>
      </c>
      <c r="O330" s="157" t="s">
        <v>665</v>
      </c>
      <c r="P330" s="150"/>
      <c r="Q330" s="150"/>
    </row>
    <row r="331">
      <c r="A331" s="157" t="b">
        <v>0</v>
      </c>
      <c r="B331" s="150"/>
      <c r="C331" s="151" t="s">
        <v>414</v>
      </c>
      <c r="D331" s="150"/>
      <c r="E331" s="157" t="s">
        <v>215</v>
      </c>
      <c r="F331" s="150"/>
      <c r="G331" s="157" t="s">
        <v>325</v>
      </c>
      <c r="H331" s="150"/>
      <c r="I331" s="150"/>
      <c r="J331" s="157" t="s">
        <v>666</v>
      </c>
      <c r="K331" s="150"/>
      <c r="L331" s="149"/>
      <c r="M331" s="149"/>
      <c r="N331" s="157" t="s">
        <v>649</v>
      </c>
      <c r="O331" s="157" t="s">
        <v>667</v>
      </c>
      <c r="P331" s="150"/>
      <c r="Q331" s="150"/>
    </row>
    <row r="332">
      <c r="A332" s="157" t="b">
        <v>0</v>
      </c>
      <c r="B332" s="150"/>
      <c r="C332" s="151" t="s">
        <v>414</v>
      </c>
      <c r="D332" s="150"/>
      <c r="E332" s="157" t="s">
        <v>215</v>
      </c>
      <c r="F332" s="150"/>
      <c r="G332" s="157" t="s">
        <v>325</v>
      </c>
      <c r="H332" s="150"/>
      <c r="I332" s="150"/>
      <c r="J332" s="157" t="s">
        <v>668</v>
      </c>
      <c r="K332" s="150"/>
      <c r="L332" s="149"/>
      <c r="M332" s="149"/>
      <c r="N332" s="157" t="s">
        <v>646</v>
      </c>
      <c r="O332" s="157" t="s">
        <v>669</v>
      </c>
      <c r="P332" s="150"/>
      <c r="Q332" s="150"/>
    </row>
    <row r="333">
      <c r="A333" s="157" t="b">
        <v>0</v>
      </c>
      <c r="B333" s="150"/>
      <c r="C333" s="151" t="s">
        <v>414</v>
      </c>
      <c r="D333" s="150"/>
      <c r="E333" s="157" t="s">
        <v>215</v>
      </c>
      <c r="F333" s="150"/>
      <c r="G333" s="157" t="s">
        <v>325</v>
      </c>
      <c r="H333" s="150"/>
      <c r="I333" s="150"/>
      <c r="J333" s="157" t="s">
        <v>670</v>
      </c>
      <c r="K333" s="150"/>
      <c r="L333" s="149"/>
      <c r="M333" s="149"/>
      <c r="N333" s="157" t="s">
        <v>649</v>
      </c>
      <c r="O333" s="157" t="s">
        <v>671</v>
      </c>
      <c r="P333" s="150"/>
      <c r="Q333" s="150"/>
    </row>
    <row r="334">
      <c r="A334" s="157" t="b">
        <v>0</v>
      </c>
      <c r="B334" s="150"/>
      <c r="C334" s="151" t="s">
        <v>414</v>
      </c>
      <c r="D334" s="150"/>
      <c r="E334" s="157" t="s">
        <v>215</v>
      </c>
      <c r="F334" s="150"/>
      <c r="G334" s="157" t="s">
        <v>325</v>
      </c>
      <c r="H334" s="150"/>
      <c r="I334" s="150"/>
      <c r="J334" s="157" t="s">
        <v>672</v>
      </c>
      <c r="K334" s="150"/>
      <c r="L334" s="149"/>
      <c r="M334" s="149"/>
      <c r="N334" s="157" t="s">
        <v>640</v>
      </c>
      <c r="O334" s="157" t="s">
        <v>673</v>
      </c>
      <c r="P334" s="150"/>
      <c r="Q334" s="150"/>
    </row>
    <row r="335">
      <c r="A335" s="157" t="b">
        <v>0</v>
      </c>
      <c r="B335" s="150"/>
      <c r="C335" s="151" t="s">
        <v>414</v>
      </c>
      <c r="D335" s="150"/>
      <c r="E335" s="157" t="s">
        <v>215</v>
      </c>
      <c r="F335" s="150"/>
      <c r="G335" s="157" t="s">
        <v>325</v>
      </c>
      <c r="H335" s="150"/>
      <c r="I335" s="150"/>
      <c r="J335" s="157" t="s">
        <v>674</v>
      </c>
      <c r="K335" s="150"/>
      <c r="L335" s="149"/>
      <c r="M335" s="149"/>
      <c r="N335" s="157" t="s">
        <v>646</v>
      </c>
      <c r="O335" s="157" t="s">
        <v>675</v>
      </c>
      <c r="P335" s="150"/>
      <c r="Q335" s="150"/>
    </row>
    <row r="336">
      <c r="A336" s="157" t="b">
        <v>0</v>
      </c>
      <c r="B336" s="150"/>
      <c r="C336" s="151" t="s">
        <v>414</v>
      </c>
      <c r="D336" s="150"/>
      <c r="E336" s="157" t="s">
        <v>215</v>
      </c>
      <c r="F336" s="150"/>
      <c r="G336" s="157" t="s">
        <v>325</v>
      </c>
      <c r="H336" s="150"/>
      <c r="I336" s="150"/>
      <c r="J336" s="157" t="s">
        <v>676</v>
      </c>
      <c r="K336" s="150"/>
      <c r="L336" s="149"/>
      <c r="M336" s="149"/>
      <c r="N336" s="157" t="s">
        <v>646</v>
      </c>
      <c r="O336" s="157" t="s">
        <v>677</v>
      </c>
      <c r="P336" s="150"/>
      <c r="Q336" s="150"/>
    </row>
    <row r="337">
      <c r="A337" s="157" t="b">
        <v>0</v>
      </c>
      <c r="B337" s="150"/>
      <c r="C337" s="151" t="s">
        <v>414</v>
      </c>
      <c r="D337" s="150"/>
      <c r="E337" s="157" t="s">
        <v>215</v>
      </c>
      <c r="F337" s="150"/>
      <c r="G337" s="157" t="s">
        <v>325</v>
      </c>
      <c r="H337" s="150"/>
      <c r="I337" s="150"/>
      <c r="J337" s="157" t="s">
        <v>678</v>
      </c>
      <c r="K337" s="150"/>
      <c r="L337" s="149"/>
      <c r="M337" s="149"/>
      <c r="N337" s="157" t="s">
        <v>649</v>
      </c>
      <c r="O337" s="157" t="s">
        <v>679</v>
      </c>
      <c r="P337" s="150"/>
      <c r="Q337" s="150"/>
    </row>
    <row r="338">
      <c r="A338" s="157" t="b">
        <v>0</v>
      </c>
      <c r="B338" s="150"/>
      <c r="C338" s="151" t="s">
        <v>414</v>
      </c>
      <c r="D338" s="150"/>
      <c r="E338" s="157" t="s">
        <v>215</v>
      </c>
      <c r="F338" s="150"/>
      <c r="G338" s="164" t="s">
        <v>326</v>
      </c>
      <c r="H338" s="150"/>
      <c r="I338" s="150"/>
      <c r="J338" s="157" t="s">
        <v>664</v>
      </c>
      <c r="K338" s="150"/>
      <c r="L338" s="149"/>
      <c r="M338" s="149"/>
      <c r="N338" s="157" t="s">
        <v>646</v>
      </c>
      <c r="O338" s="157" t="s">
        <v>665</v>
      </c>
      <c r="P338" s="150"/>
      <c r="Q338" s="150"/>
    </row>
    <row r="339">
      <c r="A339" s="157" t="b">
        <v>0</v>
      </c>
      <c r="B339" s="150"/>
      <c r="C339" s="151" t="s">
        <v>414</v>
      </c>
      <c r="D339" s="150"/>
      <c r="E339" s="157" t="s">
        <v>215</v>
      </c>
      <c r="F339" s="150"/>
      <c r="G339" s="157" t="s">
        <v>326</v>
      </c>
      <c r="H339" s="150"/>
      <c r="I339" s="150"/>
      <c r="J339" s="157" t="s">
        <v>680</v>
      </c>
      <c r="K339" s="150"/>
      <c r="L339" s="149"/>
      <c r="M339" s="149"/>
      <c r="N339" s="157" t="s">
        <v>649</v>
      </c>
      <c r="O339" s="157" t="s">
        <v>681</v>
      </c>
      <c r="P339" s="150"/>
      <c r="Q339" s="150"/>
    </row>
    <row r="340">
      <c r="A340" s="157" t="b">
        <v>0</v>
      </c>
      <c r="B340" s="150"/>
      <c r="C340" s="151" t="s">
        <v>414</v>
      </c>
      <c r="D340" s="150"/>
      <c r="E340" s="157" t="s">
        <v>215</v>
      </c>
      <c r="F340" s="150"/>
      <c r="G340" s="157" t="s">
        <v>326</v>
      </c>
      <c r="H340" s="150"/>
      <c r="I340" s="150"/>
      <c r="J340" s="157" t="s">
        <v>682</v>
      </c>
      <c r="K340" s="150"/>
      <c r="L340" s="149"/>
      <c r="M340" s="149"/>
      <c r="N340" s="157" t="s">
        <v>646</v>
      </c>
      <c r="O340" s="157" t="s">
        <v>683</v>
      </c>
      <c r="P340" s="150"/>
      <c r="Q340" s="150"/>
    </row>
    <row r="341">
      <c r="A341" s="157" t="b">
        <v>0</v>
      </c>
      <c r="B341" s="150"/>
      <c r="C341" s="151" t="s">
        <v>414</v>
      </c>
      <c r="D341" s="150"/>
      <c r="E341" s="157" t="s">
        <v>215</v>
      </c>
      <c r="F341" s="150"/>
      <c r="G341" s="157" t="s">
        <v>326</v>
      </c>
      <c r="H341" s="150"/>
      <c r="I341" s="150"/>
      <c r="J341" s="157" t="s">
        <v>684</v>
      </c>
      <c r="K341" s="150"/>
      <c r="L341" s="149"/>
      <c r="M341" s="149"/>
      <c r="N341" s="157" t="s">
        <v>649</v>
      </c>
      <c r="O341" s="157" t="s">
        <v>685</v>
      </c>
      <c r="P341" s="150"/>
      <c r="Q341" s="150"/>
    </row>
    <row r="342">
      <c r="A342" s="157" t="b">
        <v>0</v>
      </c>
      <c r="B342" s="150"/>
      <c r="C342" s="151" t="s">
        <v>414</v>
      </c>
      <c r="D342" s="150"/>
      <c r="E342" s="157" t="s">
        <v>215</v>
      </c>
      <c r="F342" s="150"/>
      <c r="G342" s="157" t="s">
        <v>326</v>
      </c>
      <c r="H342" s="150"/>
      <c r="I342" s="150"/>
      <c r="J342" s="157" t="s">
        <v>678</v>
      </c>
      <c r="K342" s="150"/>
      <c r="L342" s="149"/>
      <c r="M342" s="149"/>
      <c r="N342" s="157" t="s">
        <v>649</v>
      </c>
      <c r="O342" s="157" t="s">
        <v>679</v>
      </c>
      <c r="P342" s="150"/>
      <c r="Q342" s="150"/>
    </row>
    <row r="343">
      <c r="A343" s="157" t="b">
        <v>0</v>
      </c>
      <c r="B343" s="150"/>
      <c r="C343" s="151" t="s">
        <v>414</v>
      </c>
      <c r="D343" s="150"/>
      <c r="E343" s="157" t="s">
        <v>215</v>
      </c>
      <c r="F343" s="150"/>
      <c r="G343" s="164" t="s">
        <v>321</v>
      </c>
      <c r="H343" s="150"/>
      <c r="I343" s="150"/>
      <c r="J343" s="157" t="s">
        <v>664</v>
      </c>
      <c r="K343" s="150"/>
      <c r="L343" s="149"/>
      <c r="M343" s="149"/>
      <c r="N343" s="157" t="s">
        <v>646</v>
      </c>
      <c r="O343" s="157" t="s">
        <v>665</v>
      </c>
      <c r="P343" s="150"/>
      <c r="Q343" s="150"/>
    </row>
    <row r="344">
      <c r="A344" s="157" t="b">
        <v>0</v>
      </c>
      <c r="B344" s="150"/>
      <c r="C344" s="151" t="s">
        <v>414</v>
      </c>
      <c r="D344" s="150"/>
      <c r="E344" s="157" t="s">
        <v>215</v>
      </c>
      <c r="F344" s="150"/>
      <c r="G344" s="157" t="s">
        <v>321</v>
      </c>
      <c r="H344" s="150"/>
      <c r="I344" s="150"/>
      <c r="J344" s="157" t="s">
        <v>686</v>
      </c>
      <c r="K344" s="150"/>
      <c r="L344" s="149"/>
      <c r="M344" s="149"/>
      <c r="N344" s="157" t="s">
        <v>646</v>
      </c>
      <c r="O344" s="157" t="s">
        <v>687</v>
      </c>
      <c r="P344" s="150"/>
      <c r="Q344" s="150"/>
    </row>
    <row r="345">
      <c r="A345" s="157" t="b">
        <v>0</v>
      </c>
      <c r="B345" s="150"/>
      <c r="C345" s="151" t="s">
        <v>414</v>
      </c>
      <c r="D345" s="150"/>
      <c r="E345" s="157" t="s">
        <v>215</v>
      </c>
      <c r="F345" s="150"/>
      <c r="G345" s="157" t="s">
        <v>321</v>
      </c>
      <c r="H345" s="150"/>
      <c r="I345" s="150"/>
      <c r="J345" s="157" t="s">
        <v>688</v>
      </c>
      <c r="K345" s="150"/>
      <c r="L345" s="149"/>
      <c r="M345" s="149"/>
      <c r="N345" s="157" t="s">
        <v>646</v>
      </c>
      <c r="O345" s="157" t="s">
        <v>689</v>
      </c>
      <c r="P345" s="150"/>
      <c r="Q345" s="150"/>
    </row>
    <row r="346">
      <c r="A346" s="157" t="b">
        <v>0</v>
      </c>
      <c r="B346" s="150"/>
      <c r="C346" s="151" t="s">
        <v>414</v>
      </c>
      <c r="D346" s="150"/>
      <c r="E346" s="157" t="s">
        <v>215</v>
      </c>
      <c r="F346" s="150"/>
      <c r="G346" s="157" t="s">
        <v>321</v>
      </c>
      <c r="H346" s="150"/>
      <c r="I346" s="150"/>
      <c r="J346" s="157" t="s">
        <v>690</v>
      </c>
      <c r="K346" s="150"/>
      <c r="L346" s="149"/>
      <c r="M346" s="149"/>
      <c r="N346" s="157" t="s">
        <v>646</v>
      </c>
      <c r="O346" s="157" t="s">
        <v>691</v>
      </c>
      <c r="P346" s="150"/>
      <c r="Q346" s="150"/>
    </row>
    <row r="347">
      <c r="A347" s="157" t="b">
        <v>0</v>
      </c>
      <c r="B347" s="150"/>
      <c r="C347" s="151" t="s">
        <v>414</v>
      </c>
      <c r="D347" s="150"/>
      <c r="E347" s="157" t="s">
        <v>215</v>
      </c>
      <c r="F347" s="150"/>
      <c r="G347" s="157" t="s">
        <v>321</v>
      </c>
      <c r="H347" s="150"/>
      <c r="I347" s="150"/>
      <c r="J347" s="157" t="s">
        <v>692</v>
      </c>
      <c r="K347" s="150"/>
      <c r="L347" s="149"/>
      <c r="M347" s="149"/>
      <c r="N347" s="157" t="s">
        <v>646</v>
      </c>
      <c r="O347" s="157" t="s">
        <v>693</v>
      </c>
      <c r="P347" s="150"/>
      <c r="Q347" s="150"/>
    </row>
    <row r="348">
      <c r="A348" s="157" t="b">
        <v>0</v>
      </c>
      <c r="B348" s="150"/>
      <c r="C348" s="151" t="s">
        <v>414</v>
      </c>
      <c r="D348" s="150"/>
      <c r="E348" s="157" t="s">
        <v>215</v>
      </c>
      <c r="F348" s="150"/>
      <c r="G348" s="157" t="s">
        <v>321</v>
      </c>
      <c r="H348" s="150"/>
      <c r="I348" s="150"/>
      <c r="J348" s="157" t="s">
        <v>350</v>
      </c>
      <c r="K348" s="150"/>
      <c r="L348" s="149"/>
      <c r="M348" s="149"/>
      <c r="N348" s="157" t="s">
        <v>649</v>
      </c>
      <c r="O348" s="157" t="s">
        <v>694</v>
      </c>
      <c r="P348" s="150"/>
      <c r="Q348" s="150"/>
    </row>
    <row r="349">
      <c r="A349" s="157" t="b">
        <v>0</v>
      </c>
      <c r="B349" s="150"/>
      <c r="C349" s="151" t="s">
        <v>414</v>
      </c>
      <c r="D349" s="150"/>
      <c r="E349" s="157" t="s">
        <v>215</v>
      </c>
      <c r="F349" s="150"/>
      <c r="G349" s="157" t="s">
        <v>321</v>
      </c>
      <c r="H349" s="150"/>
      <c r="I349" s="150"/>
      <c r="J349" s="157" t="s">
        <v>678</v>
      </c>
      <c r="K349" s="150"/>
      <c r="L349" s="149"/>
      <c r="M349" s="149"/>
      <c r="N349" s="157" t="s">
        <v>649</v>
      </c>
      <c r="O349" s="157" t="s">
        <v>679</v>
      </c>
      <c r="P349" s="150"/>
      <c r="Q349" s="150"/>
    </row>
    <row r="350">
      <c r="A350" s="157" t="b">
        <v>0</v>
      </c>
      <c r="B350" s="150"/>
      <c r="C350" s="151" t="s">
        <v>414</v>
      </c>
      <c r="D350" s="150"/>
      <c r="E350" s="157" t="s">
        <v>215</v>
      </c>
      <c r="F350" s="150"/>
      <c r="G350" s="164" t="s">
        <v>327</v>
      </c>
      <c r="H350" s="150"/>
      <c r="I350" s="150"/>
      <c r="J350" s="157" t="s">
        <v>664</v>
      </c>
      <c r="K350" s="150"/>
      <c r="L350" s="149"/>
      <c r="M350" s="149"/>
      <c r="N350" s="157" t="s">
        <v>646</v>
      </c>
      <c r="O350" s="157" t="s">
        <v>665</v>
      </c>
      <c r="P350" s="150"/>
      <c r="Q350" s="150"/>
    </row>
    <row r="351">
      <c r="A351" s="157" t="b">
        <v>0</v>
      </c>
      <c r="B351" s="150"/>
      <c r="C351" s="151" t="s">
        <v>414</v>
      </c>
      <c r="D351" s="150"/>
      <c r="E351" s="157" t="s">
        <v>215</v>
      </c>
      <c r="F351" s="150"/>
      <c r="G351" s="157" t="s">
        <v>327</v>
      </c>
      <c r="H351" s="150"/>
      <c r="I351" s="150"/>
      <c r="J351" s="157" t="s">
        <v>695</v>
      </c>
      <c r="K351" s="150"/>
      <c r="L351" s="149"/>
      <c r="M351" s="149"/>
      <c r="N351" s="157" t="s">
        <v>646</v>
      </c>
      <c r="O351" s="157" t="s">
        <v>696</v>
      </c>
      <c r="P351" s="150"/>
      <c r="Q351" s="150"/>
    </row>
    <row r="352">
      <c r="A352" s="157" t="b">
        <v>0</v>
      </c>
      <c r="B352" s="150"/>
      <c r="C352" s="151" t="s">
        <v>414</v>
      </c>
      <c r="D352" s="150"/>
      <c r="E352" s="157" t="s">
        <v>215</v>
      </c>
      <c r="F352" s="150"/>
      <c r="G352" s="157" t="s">
        <v>327</v>
      </c>
      <c r="H352" s="150"/>
      <c r="I352" s="150"/>
      <c r="J352" s="157" t="s">
        <v>697</v>
      </c>
      <c r="K352" s="150"/>
      <c r="L352" s="149"/>
      <c r="M352" s="149"/>
      <c r="N352" s="157" t="s">
        <v>646</v>
      </c>
      <c r="O352" s="157" t="s">
        <v>698</v>
      </c>
      <c r="P352" s="150"/>
      <c r="Q352" s="150"/>
    </row>
    <row r="353">
      <c r="A353" s="157" t="b">
        <v>0</v>
      </c>
      <c r="B353" s="150"/>
      <c r="C353" s="151" t="s">
        <v>414</v>
      </c>
      <c r="D353" s="150"/>
      <c r="E353" s="157" t="s">
        <v>215</v>
      </c>
      <c r="F353" s="150"/>
      <c r="G353" s="157" t="s">
        <v>327</v>
      </c>
      <c r="H353" s="150"/>
      <c r="I353" s="150"/>
      <c r="J353" s="157" t="s">
        <v>699</v>
      </c>
      <c r="K353" s="150"/>
      <c r="L353" s="149"/>
      <c r="M353" s="149"/>
      <c r="N353" s="157" t="s">
        <v>646</v>
      </c>
      <c r="O353" s="157" t="s">
        <v>700</v>
      </c>
      <c r="P353" s="150"/>
      <c r="Q353" s="150"/>
    </row>
    <row r="354">
      <c r="A354" s="157" t="b">
        <v>0</v>
      </c>
      <c r="B354" s="150"/>
      <c r="C354" s="151" t="s">
        <v>414</v>
      </c>
      <c r="D354" s="150"/>
      <c r="E354" s="157" t="s">
        <v>215</v>
      </c>
      <c r="F354" s="150"/>
      <c r="G354" s="157" t="s">
        <v>327</v>
      </c>
      <c r="H354" s="150"/>
      <c r="I354" s="150"/>
      <c r="J354" s="157" t="s">
        <v>701</v>
      </c>
      <c r="K354" s="150"/>
      <c r="L354" s="149"/>
      <c r="M354" s="149"/>
      <c r="N354" s="157" t="s">
        <v>646</v>
      </c>
      <c r="O354" s="157" t="s">
        <v>702</v>
      </c>
      <c r="P354" s="150"/>
      <c r="Q354" s="150"/>
    </row>
    <row r="355">
      <c r="A355" s="157" t="b">
        <v>0</v>
      </c>
      <c r="B355" s="150"/>
      <c r="C355" s="151" t="s">
        <v>414</v>
      </c>
      <c r="D355" s="150"/>
      <c r="E355" s="157" t="s">
        <v>215</v>
      </c>
      <c r="F355" s="150"/>
      <c r="G355" s="157" t="s">
        <v>327</v>
      </c>
      <c r="H355" s="150"/>
      <c r="I355" s="150"/>
      <c r="J355" s="157" t="s">
        <v>703</v>
      </c>
      <c r="K355" s="150"/>
      <c r="L355" s="149"/>
      <c r="M355" s="149"/>
      <c r="N355" s="157" t="s">
        <v>646</v>
      </c>
      <c r="O355" s="157" t="s">
        <v>704</v>
      </c>
      <c r="P355" s="150"/>
      <c r="Q355" s="150"/>
    </row>
    <row r="356">
      <c r="A356" s="157" t="b">
        <v>0</v>
      </c>
      <c r="B356" s="150"/>
      <c r="C356" s="151" t="s">
        <v>414</v>
      </c>
      <c r="D356" s="150"/>
      <c r="E356" s="157" t="s">
        <v>215</v>
      </c>
      <c r="F356" s="150"/>
      <c r="G356" s="157" t="s">
        <v>327</v>
      </c>
      <c r="H356" s="150"/>
      <c r="I356" s="150"/>
      <c r="J356" s="157" t="s">
        <v>705</v>
      </c>
      <c r="K356" s="150"/>
      <c r="L356" s="149"/>
      <c r="M356" s="149"/>
      <c r="N356" s="157" t="s">
        <v>646</v>
      </c>
      <c r="O356" s="157" t="s">
        <v>706</v>
      </c>
      <c r="P356" s="150"/>
      <c r="Q356" s="150"/>
    </row>
    <row r="357">
      <c r="A357" s="157" t="b">
        <v>0</v>
      </c>
      <c r="B357" s="150"/>
      <c r="C357" s="151" t="s">
        <v>414</v>
      </c>
      <c r="D357" s="150"/>
      <c r="E357" s="157" t="s">
        <v>215</v>
      </c>
      <c r="F357" s="150"/>
      <c r="G357" s="157" t="s">
        <v>327</v>
      </c>
      <c r="H357" s="150"/>
      <c r="I357" s="150"/>
      <c r="J357" s="157" t="s">
        <v>678</v>
      </c>
      <c r="K357" s="150"/>
      <c r="L357" s="149"/>
      <c r="M357" s="149"/>
      <c r="N357" s="157" t="s">
        <v>649</v>
      </c>
      <c r="O357" s="157" t="s">
        <v>679</v>
      </c>
      <c r="P357" s="150"/>
      <c r="Q357" s="150"/>
    </row>
    <row r="358">
      <c r="A358" s="157" t="b">
        <v>0</v>
      </c>
      <c r="B358" s="150"/>
      <c r="C358" s="151" t="s">
        <v>414</v>
      </c>
      <c r="D358" s="150"/>
      <c r="E358" s="157" t="s">
        <v>215</v>
      </c>
      <c r="F358" s="150"/>
      <c r="G358" s="164" t="s">
        <v>328</v>
      </c>
      <c r="H358" s="150"/>
      <c r="I358" s="150"/>
      <c r="J358" s="157" t="s">
        <v>664</v>
      </c>
      <c r="K358" s="150"/>
      <c r="L358" s="149"/>
      <c r="M358" s="149"/>
      <c r="N358" s="157" t="s">
        <v>646</v>
      </c>
      <c r="O358" s="157" t="s">
        <v>665</v>
      </c>
      <c r="P358" s="150"/>
      <c r="Q358" s="150"/>
    </row>
    <row r="359">
      <c r="A359" s="157" t="b">
        <v>0</v>
      </c>
      <c r="B359" s="150"/>
      <c r="C359" s="151" t="s">
        <v>414</v>
      </c>
      <c r="D359" s="150"/>
      <c r="E359" s="157" t="s">
        <v>215</v>
      </c>
      <c r="F359" s="150"/>
      <c r="G359" s="157" t="s">
        <v>328</v>
      </c>
      <c r="H359" s="150"/>
      <c r="I359" s="150"/>
      <c r="J359" s="157" t="s">
        <v>707</v>
      </c>
      <c r="K359" s="150"/>
      <c r="L359" s="149"/>
      <c r="M359" s="149"/>
      <c r="N359" s="157" t="s">
        <v>646</v>
      </c>
      <c r="O359" s="157" t="s">
        <v>708</v>
      </c>
      <c r="P359" s="150"/>
      <c r="Q359" s="150"/>
    </row>
    <row r="360">
      <c r="A360" s="157" t="b">
        <v>0</v>
      </c>
      <c r="B360" s="150"/>
      <c r="C360" s="151" t="s">
        <v>414</v>
      </c>
      <c r="D360" s="150"/>
      <c r="E360" s="157" t="s">
        <v>215</v>
      </c>
      <c r="F360" s="150"/>
      <c r="G360" s="157" t="s">
        <v>328</v>
      </c>
      <c r="H360" s="150"/>
      <c r="I360" s="150"/>
      <c r="J360" s="157" t="s">
        <v>709</v>
      </c>
      <c r="K360" s="150"/>
      <c r="L360" s="149"/>
      <c r="M360" s="149"/>
      <c r="N360" s="157" t="s">
        <v>646</v>
      </c>
      <c r="O360" s="157" t="s">
        <v>710</v>
      </c>
      <c r="P360" s="150"/>
      <c r="Q360" s="150"/>
    </row>
    <row r="361">
      <c r="A361" s="157" t="b">
        <v>0</v>
      </c>
      <c r="B361" s="150"/>
      <c r="C361" s="151" t="s">
        <v>414</v>
      </c>
      <c r="D361" s="150"/>
      <c r="E361" s="157" t="s">
        <v>215</v>
      </c>
      <c r="F361" s="150"/>
      <c r="G361" s="157" t="s">
        <v>328</v>
      </c>
      <c r="H361" s="150"/>
      <c r="I361" s="150"/>
      <c r="J361" s="157" t="s">
        <v>711</v>
      </c>
      <c r="K361" s="150"/>
      <c r="L361" s="149"/>
      <c r="M361" s="149"/>
      <c r="N361" s="157" t="s">
        <v>646</v>
      </c>
      <c r="O361" s="157" t="s">
        <v>712</v>
      </c>
      <c r="P361" s="150"/>
      <c r="Q361" s="150"/>
    </row>
    <row r="362">
      <c r="A362" s="157" t="b">
        <v>0</v>
      </c>
      <c r="B362" s="150"/>
      <c r="C362" s="151" t="s">
        <v>414</v>
      </c>
      <c r="D362" s="150"/>
      <c r="E362" s="157" t="s">
        <v>215</v>
      </c>
      <c r="F362" s="150"/>
      <c r="G362" s="157" t="s">
        <v>328</v>
      </c>
      <c r="H362" s="150"/>
      <c r="I362" s="150"/>
      <c r="J362" s="157" t="s">
        <v>713</v>
      </c>
      <c r="K362" s="150"/>
      <c r="L362" s="149"/>
      <c r="M362" s="149"/>
      <c r="N362" s="157" t="s">
        <v>646</v>
      </c>
      <c r="O362" s="157" t="s">
        <v>714</v>
      </c>
      <c r="P362" s="150"/>
      <c r="Q362" s="150"/>
    </row>
    <row r="363">
      <c r="A363" s="157" t="b">
        <v>0</v>
      </c>
      <c r="B363" s="150"/>
      <c r="C363" s="151" t="s">
        <v>414</v>
      </c>
      <c r="D363" s="150"/>
      <c r="E363" s="157" t="s">
        <v>215</v>
      </c>
      <c r="F363" s="150"/>
      <c r="G363" s="157" t="s">
        <v>328</v>
      </c>
      <c r="H363" s="150"/>
      <c r="I363" s="150"/>
      <c r="J363" s="157" t="s">
        <v>715</v>
      </c>
      <c r="K363" s="150"/>
      <c r="L363" s="149"/>
      <c r="M363" s="149"/>
      <c r="N363" s="157" t="s">
        <v>646</v>
      </c>
      <c r="O363" s="157" t="s">
        <v>716</v>
      </c>
      <c r="P363" s="150"/>
      <c r="Q363" s="150"/>
    </row>
    <row r="364">
      <c r="A364" s="157" t="b">
        <v>0</v>
      </c>
      <c r="B364" s="150"/>
      <c r="C364" s="151" t="s">
        <v>414</v>
      </c>
      <c r="D364" s="150"/>
      <c r="E364" s="157" t="s">
        <v>215</v>
      </c>
      <c r="F364" s="150"/>
      <c r="G364" s="157" t="s">
        <v>328</v>
      </c>
      <c r="H364" s="150"/>
      <c r="I364" s="150"/>
      <c r="J364" s="157" t="s">
        <v>678</v>
      </c>
      <c r="K364" s="150"/>
      <c r="L364" s="149"/>
      <c r="M364" s="149"/>
      <c r="N364" s="157" t="s">
        <v>649</v>
      </c>
      <c r="O364" s="157" t="s">
        <v>679</v>
      </c>
      <c r="P364" s="150"/>
      <c r="Q364" s="150"/>
    </row>
    <row r="365">
      <c r="A365" s="157" t="b">
        <v>0</v>
      </c>
      <c r="B365" s="150"/>
      <c r="C365" s="151" t="s">
        <v>414</v>
      </c>
      <c r="D365" s="150"/>
      <c r="E365" s="157" t="s">
        <v>215</v>
      </c>
      <c r="F365" s="150"/>
      <c r="G365" s="164" t="s">
        <v>319</v>
      </c>
      <c r="H365" s="150"/>
      <c r="I365" s="150"/>
      <c r="J365" s="157" t="s">
        <v>664</v>
      </c>
      <c r="K365" s="150"/>
      <c r="L365" s="149"/>
      <c r="M365" s="149"/>
      <c r="N365" s="157" t="s">
        <v>646</v>
      </c>
      <c r="O365" s="157" t="s">
        <v>665</v>
      </c>
      <c r="P365" s="150"/>
      <c r="Q365" s="150"/>
    </row>
    <row r="366">
      <c r="A366" s="157" t="b">
        <v>0</v>
      </c>
      <c r="B366" s="150"/>
      <c r="C366" s="151" t="s">
        <v>414</v>
      </c>
      <c r="D366" s="150"/>
      <c r="E366" s="157" t="s">
        <v>215</v>
      </c>
      <c r="F366" s="150"/>
      <c r="G366" s="157" t="s">
        <v>319</v>
      </c>
      <c r="H366" s="150"/>
      <c r="I366" s="150"/>
      <c r="J366" s="157" t="s">
        <v>717</v>
      </c>
      <c r="K366" s="150"/>
      <c r="L366" s="149"/>
      <c r="M366" s="149"/>
      <c r="N366" s="157" t="s">
        <v>646</v>
      </c>
      <c r="O366" s="157" t="s">
        <v>718</v>
      </c>
      <c r="P366" s="150"/>
      <c r="Q366" s="150"/>
    </row>
    <row r="367">
      <c r="A367" s="157" t="b">
        <v>0</v>
      </c>
      <c r="B367" s="150"/>
      <c r="C367" s="151" t="s">
        <v>414</v>
      </c>
      <c r="D367" s="150"/>
      <c r="E367" s="157" t="s">
        <v>215</v>
      </c>
      <c r="F367" s="150"/>
      <c r="G367" s="157" t="s">
        <v>319</v>
      </c>
      <c r="H367" s="150"/>
      <c r="I367" s="150"/>
      <c r="J367" s="157" t="s">
        <v>719</v>
      </c>
      <c r="K367" s="150"/>
      <c r="L367" s="149"/>
      <c r="M367" s="149"/>
      <c r="N367" s="157" t="s">
        <v>646</v>
      </c>
      <c r="O367" s="157" t="s">
        <v>720</v>
      </c>
      <c r="P367" s="150"/>
      <c r="Q367" s="150"/>
    </row>
    <row r="368">
      <c r="A368" s="157" t="b">
        <v>0</v>
      </c>
      <c r="B368" s="150"/>
      <c r="C368" s="151" t="s">
        <v>414</v>
      </c>
      <c r="D368" s="150"/>
      <c r="E368" s="157" t="s">
        <v>215</v>
      </c>
      <c r="F368" s="150"/>
      <c r="G368" s="157" t="s">
        <v>319</v>
      </c>
      <c r="H368" s="150"/>
      <c r="I368" s="150"/>
      <c r="J368" s="157" t="s">
        <v>721</v>
      </c>
      <c r="K368" s="150"/>
      <c r="L368" s="149"/>
      <c r="M368" s="149"/>
      <c r="N368" s="157" t="s">
        <v>646</v>
      </c>
      <c r="O368" s="157" t="s">
        <v>722</v>
      </c>
      <c r="P368" s="150"/>
      <c r="Q368" s="150"/>
    </row>
    <row r="369">
      <c r="A369" s="157" t="b">
        <v>0</v>
      </c>
      <c r="B369" s="150"/>
      <c r="C369" s="151" t="s">
        <v>414</v>
      </c>
      <c r="D369" s="150"/>
      <c r="E369" s="157" t="s">
        <v>215</v>
      </c>
      <c r="F369" s="150"/>
      <c r="G369" s="157" t="s">
        <v>319</v>
      </c>
      <c r="H369" s="150"/>
      <c r="I369" s="150"/>
      <c r="J369" s="157" t="s">
        <v>723</v>
      </c>
      <c r="K369" s="150"/>
      <c r="L369" s="149"/>
      <c r="M369" s="149"/>
      <c r="N369" s="157" t="s">
        <v>646</v>
      </c>
      <c r="O369" s="157" t="s">
        <v>724</v>
      </c>
      <c r="P369" s="150"/>
      <c r="Q369" s="150"/>
    </row>
    <row r="370">
      <c r="A370" s="157" t="b">
        <v>0</v>
      </c>
      <c r="B370" s="150"/>
      <c r="C370" s="151" t="s">
        <v>414</v>
      </c>
      <c r="D370" s="150"/>
      <c r="E370" s="157" t="s">
        <v>215</v>
      </c>
      <c r="F370" s="150"/>
      <c r="G370" s="157" t="s">
        <v>319</v>
      </c>
      <c r="H370" s="150"/>
      <c r="I370" s="150"/>
      <c r="J370" s="157" t="s">
        <v>678</v>
      </c>
      <c r="K370" s="150"/>
      <c r="L370" s="149"/>
      <c r="M370" s="149"/>
      <c r="N370" s="157" t="s">
        <v>649</v>
      </c>
      <c r="O370" s="157" t="s">
        <v>679</v>
      </c>
      <c r="P370" s="150"/>
      <c r="Q370" s="150"/>
    </row>
    <row r="371">
      <c r="A371" s="157" t="b">
        <v>0</v>
      </c>
      <c r="B371" s="150"/>
      <c r="C371" s="151" t="s">
        <v>414</v>
      </c>
      <c r="D371" s="150"/>
      <c r="E371" s="157" t="s">
        <v>215</v>
      </c>
      <c r="F371" s="150"/>
      <c r="G371" s="164" t="s">
        <v>221</v>
      </c>
      <c r="H371" s="150"/>
      <c r="I371" s="150"/>
      <c r="J371" s="157" t="s">
        <v>664</v>
      </c>
      <c r="K371" s="150"/>
      <c r="L371" s="149"/>
      <c r="M371" s="149"/>
      <c r="N371" s="157" t="s">
        <v>646</v>
      </c>
      <c r="O371" s="157" t="s">
        <v>665</v>
      </c>
      <c r="P371" s="150"/>
      <c r="Q371" s="150"/>
    </row>
    <row r="372">
      <c r="A372" s="157" t="b">
        <v>0</v>
      </c>
      <c r="B372" s="150"/>
      <c r="C372" s="151" t="s">
        <v>414</v>
      </c>
      <c r="D372" s="150"/>
      <c r="E372" s="157" t="s">
        <v>215</v>
      </c>
      <c r="F372" s="150"/>
      <c r="G372" s="157" t="s">
        <v>221</v>
      </c>
      <c r="H372" s="150"/>
      <c r="I372" s="150"/>
      <c r="J372" s="157" t="s">
        <v>725</v>
      </c>
      <c r="K372" s="150"/>
      <c r="L372" s="149"/>
      <c r="M372" s="149"/>
      <c r="N372" s="157" t="s">
        <v>646</v>
      </c>
      <c r="O372" s="157" t="s">
        <v>726</v>
      </c>
      <c r="P372" s="150"/>
      <c r="Q372" s="150"/>
    </row>
    <row r="373">
      <c r="A373" s="157" t="b">
        <v>0</v>
      </c>
      <c r="B373" s="150"/>
      <c r="C373" s="151" t="s">
        <v>414</v>
      </c>
      <c r="D373" s="150"/>
      <c r="E373" s="157" t="s">
        <v>215</v>
      </c>
      <c r="F373" s="150"/>
      <c r="G373" s="157" t="s">
        <v>221</v>
      </c>
      <c r="H373" s="150"/>
      <c r="I373" s="150"/>
      <c r="J373" s="157" t="s">
        <v>727</v>
      </c>
      <c r="K373" s="150"/>
      <c r="L373" s="149"/>
      <c r="M373" s="149"/>
      <c r="N373" s="157" t="s">
        <v>646</v>
      </c>
      <c r="O373" s="157" t="s">
        <v>728</v>
      </c>
      <c r="P373" s="150"/>
      <c r="Q373" s="150"/>
    </row>
    <row r="374">
      <c r="A374" s="157" t="b">
        <v>0</v>
      </c>
      <c r="B374" s="150"/>
      <c r="C374" s="151" t="s">
        <v>414</v>
      </c>
      <c r="D374" s="150"/>
      <c r="E374" s="157" t="s">
        <v>215</v>
      </c>
      <c r="F374" s="150"/>
      <c r="G374" s="157" t="s">
        <v>221</v>
      </c>
      <c r="H374" s="150"/>
      <c r="I374" s="150"/>
      <c r="J374" s="157" t="s">
        <v>729</v>
      </c>
      <c r="K374" s="150"/>
      <c r="L374" s="149"/>
      <c r="M374" s="149"/>
      <c r="N374" s="157" t="s">
        <v>646</v>
      </c>
      <c r="O374" s="157" t="s">
        <v>730</v>
      </c>
      <c r="P374" s="150"/>
      <c r="Q374" s="150"/>
    </row>
    <row r="375">
      <c r="A375" s="157" t="b">
        <v>0</v>
      </c>
      <c r="B375" s="150"/>
      <c r="C375" s="151" t="s">
        <v>414</v>
      </c>
      <c r="D375" s="150"/>
      <c r="E375" s="157" t="s">
        <v>215</v>
      </c>
      <c r="F375" s="150"/>
      <c r="G375" s="157" t="s">
        <v>221</v>
      </c>
      <c r="H375" s="150"/>
      <c r="I375" s="150"/>
      <c r="J375" s="157" t="s">
        <v>731</v>
      </c>
      <c r="K375" s="150"/>
      <c r="L375" s="149"/>
      <c r="M375" s="149"/>
      <c r="N375" s="157" t="s">
        <v>646</v>
      </c>
      <c r="O375" s="157" t="s">
        <v>732</v>
      </c>
      <c r="P375" s="150"/>
      <c r="Q375" s="150"/>
    </row>
    <row r="376">
      <c r="A376" s="157" t="b">
        <v>0</v>
      </c>
      <c r="B376" s="150"/>
      <c r="C376" s="151" t="s">
        <v>414</v>
      </c>
      <c r="D376" s="150"/>
      <c r="E376" s="157" t="s">
        <v>215</v>
      </c>
      <c r="F376" s="150"/>
      <c r="G376" s="157" t="s">
        <v>221</v>
      </c>
      <c r="H376" s="150"/>
      <c r="I376" s="150"/>
      <c r="J376" s="157" t="s">
        <v>678</v>
      </c>
      <c r="K376" s="150"/>
      <c r="L376" s="149"/>
      <c r="M376" s="149"/>
      <c r="N376" s="157" t="s">
        <v>649</v>
      </c>
      <c r="O376" s="157" t="s">
        <v>679</v>
      </c>
      <c r="P376" s="150"/>
      <c r="Q376" s="150"/>
    </row>
    <row r="377">
      <c r="A377" s="157" t="b">
        <v>0</v>
      </c>
      <c r="B377" s="150"/>
      <c r="C377" s="151" t="s">
        <v>414</v>
      </c>
      <c r="D377" s="150"/>
      <c r="E377" s="157" t="s">
        <v>215</v>
      </c>
      <c r="F377" s="150"/>
      <c r="G377" s="164" t="s">
        <v>329</v>
      </c>
      <c r="H377" s="150"/>
      <c r="I377" s="150"/>
      <c r="J377" s="157" t="s">
        <v>664</v>
      </c>
      <c r="K377" s="150"/>
      <c r="L377" s="149"/>
      <c r="M377" s="149"/>
      <c r="N377" s="157" t="s">
        <v>646</v>
      </c>
      <c r="O377" s="157" t="s">
        <v>665</v>
      </c>
      <c r="P377" s="150"/>
      <c r="Q377" s="150"/>
    </row>
    <row r="378">
      <c r="A378" s="157" t="b">
        <v>0</v>
      </c>
      <c r="B378" s="150"/>
      <c r="C378" s="151" t="s">
        <v>414</v>
      </c>
      <c r="D378" s="150"/>
      <c r="E378" s="157" t="s">
        <v>215</v>
      </c>
      <c r="F378" s="150"/>
      <c r="G378" s="157" t="s">
        <v>329</v>
      </c>
      <c r="H378" s="150"/>
      <c r="I378" s="150"/>
      <c r="J378" s="157" t="s">
        <v>733</v>
      </c>
      <c r="K378" s="150"/>
      <c r="L378" s="149"/>
      <c r="M378" s="149"/>
      <c r="N378" s="157" t="s">
        <v>649</v>
      </c>
      <c r="O378" s="157" t="s">
        <v>734</v>
      </c>
      <c r="P378" s="150"/>
      <c r="Q378" s="150"/>
    </row>
    <row r="379">
      <c r="A379" s="157" t="b">
        <v>0</v>
      </c>
      <c r="B379" s="150"/>
      <c r="C379" s="151" t="s">
        <v>414</v>
      </c>
      <c r="D379" s="150"/>
      <c r="E379" s="157" t="s">
        <v>215</v>
      </c>
      <c r="F379" s="150"/>
      <c r="G379" s="157" t="s">
        <v>329</v>
      </c>
      <c r="H379" s="150"/>
      <c r="I379" s="150"/>
      <c r="J379" s="157" t="s">
        <v>735</v>
      </c>
      <c r="K379" s="150"/>
      <c r="L379" s="149"/>
      <c r="M379" s="149"/>
      <c r="N379" s="157" t="s">
        <v>646</v>
      </c>
      <c r="O379" s="157" t="s">
        <v>736</v>
      </c>
      <c r="P379" s="150"/>
      <c r="Q379" s="150"/>
    </row>
    <row r="380">
      <c r="A380" s="157" t="b">
        <v>0</v>
      </c>
      <c r="B380" s="150"/>
      <c r="C380" s="151" t="s">
        <v>414</v>
      </c>
      <c r="D380" s="150"/>
      <c r="E380" s="157" t="s">
        <v>215</v>
      </c>
      <c r="F380" s="150"/>
      <c r="G380" s="157" t="s">
        <v>329</v>
      </c>
      <c r="H380" s="150"/>
      <c r="I380" s="150"/>
      <c r="J380" s="157" t="s">
        <v>737</v>
      </c>
      <c r="K380" s="150"/>
      <c r="L380" s="149"/>
      <c r="M380" s="149"/>
      <c r="N380" s="157" t="s">
        <v>646</v>
      </c>
      <c r="O380" s="157" t="s">
        <v>738</v>
      </c>
      <c r="P380" s="150"/>
      <c r="Q380" s="150"/>
    </row>
    <row r="381">
      <c r="A381" s="157" t="b">
        <v>0</v>
      </c>
      <c r="B381" s="150"/>
      <c r="C381" s="151" t="s">
        <v>414</v>
      </c>
      <c r="D381" s="150"/>
      <c r="E381" s="157" t="s">
        <v>215</v>
      </c>
      <c r="F381" s="150"/>
      <c r="G381" s="157" t="s">
        <v>329</v>
      </c>
      <c r="H381" s="150"/>
      <c r="I381" s="150"/>
      <c r="J381" s="157" t="s">
        <v>739</v>
      </c>
      <c r="K381" s="150"/>
      <c r="L381" s="149"/>
      <c r="M381" s="149"/>
      <c r="N381" s="157" t="s">
        <v>646</v>
      </c>
      <c r="O381" s="157" t="s">
        <v>740</v>
      </c>
      <c r="P381" s="150"/>
      <c r="Q381" s="150"/>
    </row>
    <row r="382">
      <c r="A382" s="157" t="b">
        <v>0</v>
      </c>
      <c r="B382" s="150"/>
      <c r="C382" s="151" t="s">
        <v>414</v>
      </c>
      <c r="D382" s="150"/>
      <c r="E382" s="157" t="s">
        <v>215</v>
      </c>
      <c r="F382" s="150"/>
      <c r="G382" s="157" t="s">
        <v>329</v>
      </c>
      <c r="H382" s="150"/>
      <c r="I382" s="150"/>
      <c r="J382" s="157" t="s">
        <v>684</v>
      </c>
      <c r="K382" s="150"/>
      <c r="L382" s="149"/>
      <c r="M382" s="149"/>
      <c r="N382" s="157" t="s">
        <v>649</v>
      </c>
      <c r="O382" s="157" t="s">
        <v>741</v>
      </c>
      <c r="P382" s="150"/>
      <c r="Q382" s="150"/>
    </row>
    <row r="383">
      <c r="A383" s="157" t="b">
        <v>0</v>
      </c>
      <c r="B383" s="150"/>
      <c r="C383" s="151" t="s">
        <v>414</v>
      </c>
      <c r="D383" s="150"/>
      <c r="E383" s="157" t="s">
        <v>215</v>
      </c>
      <c r="F383" s="150"/>
      <c r="G383" s="157" t="s">
        <v>329</v>
      </c>
      <c r="H383" s="150"/>
      <c r="I383" s="150"/>
      <c r="J383" s="157" t="s">
        <v>678</v>
      </c>
      <c r="K383" s="150"/>
      <c r="L383" s="149"/>
      <c r="M383" s="149"/>
      <c r="N383" s="157" t="s">
        <v>649</v>
      </c>
      <c r="O383" s="157" t="s">
        <v>679</v>
      </c>
      <c r="P383" s="150"/>
      <c r="Q383" s="150"/>
    </row>
    <row r="384">
      <c r="A384" s="157" t="b">
        <v>0</v>
      </c>
      <c r="B384" s="150"/>
      <c r="C384" s="151" t="s">
        <v>414</v>
      </c>
      <c r="D384" s="150"/>
      <c r="E384" s="157" t="s">
        <v>215</v>
      </c>
      <c r="F384" s="150"/>
      <c r="G384" s="164" t="s">
        <v>330</v>
      </c>
      <c r="H384" s="150"/>
      <c r="I384" s="150"/>
      <c r="J384" s="157" t="s">
        <v>664</v>
      </c>
      <c r="K384" s="150"/>
      <c r="L384" s="149"/>
      <c r="M384" s="149"/>
      <c r="N384" s="157" t="s">
        <v>646</v>
      </c>
      <c r="O384" s="157" t="s">
        <v>665</v>
      </c>
      <c r="P384" s="150"/>
      <c r="Q384" s="150"/>
    </row>
    <row r="385">
      <c r="A385" s="157" t="b">
        <v>0</v>
      </c>
      <c r="B385" s="150"/>
      <c r="C385" s="151" t="s">
        <v>414</v>
      </c>
      <c r="D385" s="150"/>
      <c r="E385" s="157" t="s">
        <v>215</v>
      </c>
      <c r="F385" s="150"/>
      <c r="G385" s="157" t="s">
        <v>330</v>
      </c>
      <c r="H385" s="150"/>
      <c r="I385" s="150"/>
      <c r="J385" s="157" t="s">
        <v>742</v>
      </c>
      <c r="K385" s="150"/>
      <c r="L385" s="149"/>
      <c r="M385" s="149"/>
      <c r="N385" s="157" t="s">
        <v>646</v>
      </c>
      <c r="O385" s="157" t="s">
        <v>743</v>
      </c>
      <c r="P385" s="150"/>
      <c r="Q385" s="150"/>
    </row>
    <row r="386">
      <c r="A386" s="157" t="b">
        <v>0</v>
      </c>
      <c r="B386" s="150"/>
      <c r="C386" s="151" t="s">
        <v>414</v>
      </c>
      <c r="D386" s="150"/>
      <c r="E386" s="157" t="s">
        <v>215</v>
      </c>
      <c r="F386" s="150"/>
      <c r="G386" s="157" t="s">
        <v>330</v>
      </c>
      <c r="H386" s="150"/>
      <c r="I386" s="150"/>
      <c r="J386" s="157" t="s">
        <v>744</v>
      </c>
      <c r="K386" s="150"/>
      <c r="L386" s="149"/>
      <c r="M386" s="149"/>
      <c r="N386" s="157" t="s">
        <v>646</v>
      </c>
      <c r="O386" s="157" t="s">
        <v>745</v>
      </c>
      <c r="P386" s="150"/>
      <c r="Q386" s="150"/>
    </row>
    <row r="387">
      <c r="A387" s="157" t="b">
        <v>0</v>
      </c>
      <c r="B387" s="150"/>
      <c r="C387" s="151" t="s">
        <v>414</v>
      </c>
      <c r="D387" s="150"/>
      <c r="E387" s="157" t="s">
        <v>215</v>
      </c>
      <c r="F387" s="150"/>
      <c r="G387" s="157" t="s">
        <v>330</v>
      </c>
      <c r="H387" s="150"/>
      <c r="I387" s="150"/>
      <c r="J387" s="157" t="s">
        <v>746</v>
      </c>
      <c r="K387" s="150"/>
      <c r="L387" s="149"/>
      <c r="M387" s="149"/>
      <c r="N387" s="157" t="s">
        <v>646</v>
      </c>
      <c r="O387" s="157" t="s">
        <v>747</v>
      </c>
      <c r="P387" s="150"/>
      <c r="Q387" s="150"/>
    </row>
    <row r="388">
      <c r="A388" s="157" t="b">
        <v>0</v>
      </c>
      <c r="B388" s="150"/>
      <c r="C388" s="151" t="s">
        <v>414</v>
      </c>
      <c r="D388" s="150"/>
      <c r="E388" s="157" t="s">
        <v>215</v>
      </c>
      <c r="F388" s="150"/>
      <c r="G388" s="157" t="s">
        <v>330</v>
      </c>
      <c r="H388" s="150"/>
      <c r="I388" s="150"/>
      <c r="J388" s="157" t="s">
        <v>335</v>
      </c>
      <c r="K388" s="150"/>
      <c r="L388" s="149"/>
      <c r="M388" s="149"/>
      <c r="N388" s="157" t="s">
        <v>646</v>
      </c>
      <c r="O388" s="157" t="s">
        <v>748</v>
      </c>
      <c r="P388" s="150"/>
      <c r="Q388" s="150"/>
    </row>
    <row r="389">
      <c r="A389" s="157" t="b">
        <v>0</v>
      </c>
      <c r="B389" s="150"/>
      <c r="C389" s="151" t="s">
        <v>414</v>
      </c>
      <c r="D389" s="150"/>
      <c r="E389" s="157" t="s">
        <v>215</v>
      </c>
      <c r="F389" s="150"/>
      <c r="G389" s="157" t="s">
        <v>330</v>
      </c>
      <c r="H389" s="150"/>
      <c r="I389" s="150"/>
      <c r="J389" s="157" t="s">
        <v>678</v>
      </c>
      <c r="K389" s="150"/>
      <c r="L389" s="149"/>
      <c r="M389" s="149"/>
      <c r="N389" s="157" t="s">
        <v>649</v>
      </c>
      <c r="O389" s="157" t="s">
        <v>679</v>
      </c>
      <c r="P389" s="150"/>
      <c r="Q389" s="150"/>
    </row>
    <row r="390">
      <c r="A390" s="157" t="b">
        <v>0</v>
      </c>
      <c r="B390" s="150"/>
      <c r="C390" s="151" t="s">
        <v>414</v>
      </c>
      <c r="D390" s="150"/>
      <c r="E390" s="157" t="s">
        <v>215</v>
      </c>
      <c r="F390" s="150"/>
      <c r="G390" s="164" t="s">
        <v>331</v>
      </c>
      <c r="H390" s="150"/>
      <c r="I390" s="150"/>
      <c r="J390" s="157" t="s">
        <v>664</v>
      </c>
      <c r="K390" s="150"/>
      <c r="L390" s="149"/>
      <c r="M390" s="149"/>
      <c r="N390" s="157" t="s">
        <v>646</v>
      </c>
      <c r="O390" s="157" t="s">
        <v>665</v>
      </c>
      <c r="P390" s="150"/>
      <c r="Q390" s="150"/>
    </row>
    <row r="391">
      <c r="A391" s="157" t="b">
        <v>0</v>
      </c>
      <c r="B391" s="150"/>
      <c r="C391" s="151" t="s">
        <v>414</v>
      </c>
      <c r="D391" s="150"/>
      <c r="E391" s="157" t="s">
        <v>215</v>
      </c>
      <c r="F391" s="150"/>
      <c r="G391" s="157" t="s">
        <v>331</v>
      </c>
      <c r="H391" s="150"/>
      <c r="I391" s="150"/>
      <c r="J391" s="157" t="s">
        <v>749</v>
      </c>
      <c r="K391" s="150"/>
      <c r="L391" s="149"/>
      <c r="M391" s="149"/>
      <c r="N391" s="157" t="s">
        <v>646</v>
      </c>
      <c r="O391" s="157" t="s">
        <v>750</v>
      </c>
      <c r="P391" s="150"/>
      <c r="Q391" s="150"/>
    </row>
    <row r="392">
      <c r="A392" s="157" t="b">
        <v>0</v>
      </c>
      <c r="B392" s="150"/>
      <c r="C392" s="151" t="s">
        <v>414</v>
      </c>
      <c r="D392" s="150"/>
      <c r="E392" s="157" t="s">
        <v>215</v>
      </c>
      <c r="F392" s="150"/>
      <c r="G392" s="157" t="s">
        <v>331</v>
      </c>
      <c r="H392" s="150"/>
      <c r="I392" s="150"/>
      <c r="J392" s="157" t="s">
        <v>751</v>
      </c>
      <c r="K392" s="150"/>
      <c r="L392" s="149"/>
      <c r="M392" s="149"/>
      <c r="N392" s="157" t="s">
        <v>646</v>
      </c>
      <c r="O392" s="157" t="s">
        <v>752</v>
      </c>
      <c r="P392" s="150"/>
      <c r="Q392" s="150"/>
    </row>
    <row r="393">
      <c r="A393" s="157" t="b">
        <v>0</v>
      </c>
      <c r="B393" s="150"/>
      <c r="C393" s="151" t="s">
        <v>414</v>
      </c>
      <c r="D393" s="150"/>
      <c r="E393" s="157" t="s">
        <v>215</v>
      </c>
      <c r="F393" s="150"/>
      <c r="G393" s="157" t="s">
        <v>331</v>
      </c>
      <c r="H393" s="150"/>
      <c r="I393" s="150"/>
      <c r="J393" s="157" t="s">
        <v>753</v>
      </c>
      <c r="K393" s="150"/>
      <c r="L393" s="149"/>
      <c r="M393" s="149"/>
      <c r="N393" s="157" t="s">
        <v>646</v>
      </c>
      <c r="O393" s="157" t="s">
        <v>754</v>
      </c>
      <c r="P393" s="150"/>
      <c r="Q393" s="150"/>
    </row>
    <row r="394">
      <c r="A394" s="157" t="b">
        <v>0</v>
      </c>
      <c r="B394" s="150"/>
      <c r="C394" s="151" t="s">
        <v>414</v>
      </c>
      <c r="D394" s="150"/>
      <c r="E394" s="157" t="s">
        <v>215</v>
      </c>
      <c r="F394" s="150"/>
      <c r="G394" s="157" t="s">
        <v>331</v>
      </c>
      <c r="H394" s="150"/>
      <c r="I394" s="150"/>
      <c r="J394" s="157" t="s">
        <v>755</v>
      </c>
      <c r="K394" s="150"/>
      <c r="L394" s="149"/>
      <c r="M394" s="149"/>
      <c r="N394" s="157" t="s">
        <v>646</v>
      </c>
      <c r="O394" s="157" t="s">
        <v>756</v>
      </c>
      <c r="P394" s="150"/>
      <c r="Q394" s="150"/>
    </row>
    <row r="395">
      <c r="A395" s="157" t="b">
        <v>0</v>
      </c>
      <c r="B395" s="150"/>
      <c r="C395" s="151" t="s">
        <v>414</v>
      </c>
      <c r="D395" s="150"/>
      <c r="E395" s="157" t="s">
        <v>215</v>
      </c>
      <c r="F395" s="150"/>
      <c r="G395" s="157" t="s">
        <v>331</v>
      </c>
      <c r="H395" s="150"/>
      <c r="I395" s="150"/>
      <c r="J395" s="157" t="s">
        <v>757</v>
      </c>
      <c r="K395" s="150"/>
      <c r="L395" s="149"/>
      <c r="M395" s="149"/>
      <c r="N395" s="157" t="s">
        <v>646</v>
      </c>
      <c r="O395" s="157" t="s">
        <v>758</v>
      </c>
      <c r="P395" s="150"/>
      <c r="Q395" s="150"/>
    </row>
    <row r="396">
      <c r="A396" s="157" t="b">
        <v>0</v>
      </c>
      <c r="B396" s="150"/>
      <c r="C396" s="151" t="s">
        <v>414</v>
      </c>
      <c r="D396" s="150"/>
      <c r="E396" s="157" t="s">
        <v>215</v>
      </c>
      <c r="F396" s="150"/>
      <c r="G396" s="157" t="s">
        <v>331</v>
      </c>
      <c r="H396" s="150"/>
      <c r="I396" s="150"/>
      <c r="J396" s="157" t="s">
        <v>759</v>
      </c>
      <c r="K396" s="150"/>
      <c r="L396" s="149"/>
      <c r="M396" s="149"/>
      <c r="N396" s="157" t="s">
        <v>646</v>
      </c>
      <c r="O396" s="157" t="s">
        <v>760</v>
      </c>
      <c r="P396" s="150"/>
      <c r="Q396" s="150"/>
    </row>
    <row r="397">
      <c r="A397" s="157" t="b">
        <v>0</v>
      </c>
      <c r="B397" s="150"/>
      <c r="C397" s="151" t="s">
        <v>414</v>
      </c>
      <c r="D397" s="150"/>
      <c r="E397" s="157" t="s">
        <v>215</v>
      </c>
      <c r="F397" s="150"/>
      <c r="G397" s="157" t="s">
        <v>331</v>
      </c>
      <c r="H397" s="150"/>
      <c r="I397" s="150"/>
      <c r="J397" s="157" t="s">
        <v>761</v>
      </c>
      <c r="K397" s="150"/>
      <c r="L397" s="149"/>
      <c r="M397" s="149"/>
      <c r="N397" s="157" t="s">
        <v>646</v>
      </c>
      <c r="O397" s="157" t="s">
        <v>762</v>
      </c>
      <c r="P397" s="150"/>
      <c r="Q397" s="150"/>
    </row>
    <row r="398">
      <c r="A398" s="157" t="b">
        <v>0</v>
      </c>
      <c r="B398" s="150"/>
      <c r="C398" s="151" t="s">
        <v>414</v>
      </c>
      <c r="D398" s="150"/>
      <c r="E398" s="157" t="s">
        <v>215</v>
      </c>
      <c r="F398" s="150"/>
      <c r="G398" s="157" t="s">
        <v>331</v>
      </c>
      <c r="H398" s="150"/>
      <c r="I398" s="150"/>
      <c r="J398" s="157" t="s">
        <v>763</v>
      </c>
      <c r="K398" s="150"/>
      <c r="L398" s="149"/>
      <c r="M398" s="149"/>
      <c r="N398" s="157" t="s">
        <v>646</v>
      </c>
      <c r="O398" s="157" t="s">
        <v>764</v>
      </c>
      <c r="P398" s="150"/>
      <c r="Q398" s="150"/>
    </row>
    <row r="399">
      <c r="A399" s="157" t="b">
        <v>0</v>
      </c>
      <c r="B399" s="150"/>
      <c r="C399" s="151" t="s">
        <v>414</v>
      </c>
      <c r="D399" s="150"/>
      <c r="E399" s="157" t="s">
        <v>215</v>
      </c>
      <c r="F399" s="150"/>
      <c r="G399" s="157" t="s">
        <v>331</v>
      </c>
      <c r="H399" s="150"/>
      <c r="I399" s="150"/>
      <c r="J399" s="157" t="s">
        <v>678</v>
      </c>
      <c r="K399" s="150"/>
      <c r="L399" s="149"/>
      <c r="M399" s="149"/>
      <c r="N399" s="157" t="s">
        <v>649</v>
      </c>
      <c r="O399" s="157" t="s">
        <v>679</v>
      </c>
      <c r="P399" s="150"/>
      <c r="Q399" s="150"/>
    </row>
    <row r="400">
      <c r="A400" s="157" t="b">
        <v>0</v>
      </c>
      <c r="B400" s="150"/>
      <c r="C400" s="151" t="s">
        <v>414</v>
      </c>
      <c r="D400" s="150"/>
      <c r="E400" s="162" t="s">
        <v>217</v>
      </c>
      <c r="F400" s="150"/>
      <c r="G400" s="160" t="s">
        <v>332</v>
      </c>
      <c r="H400" s="150"/>
      <c r="I400" s="150"/>
      <c r="J400" s="160" t="s">
        <v>765</v>
      </c>
      <c r="K400" s="150"/>
      <c r="L400" s="149"/>
      <c r="M400" s="149"/>
      <c r="N400" s="150"/>
      <c r="O400" s="150"/>
      <c r="P400" s="150"/>
      <c r="Q400" s="150"/>
    </row>
    <row r="401">
      <c r="A401" s="157" t="b">
        <v>0</v>
      </c>
      <c r="B401" s="150"/>
      <c r="C401" s="151" t="s">
        <v>414</v>
      </c>
      <c r="D401" s="150"/>
      <c r="E401" s="162" t="s">
        <v>217</v>
      </c>
      <c r="F401" s="150"/>
      <c r="G401" s="160" t="s">
        <v>332</v>
      </c>
      <c r="H401" s="150"/>
      <c r="I401" s="150"/>
      <c r="J401" s="160" t="s">
        <v>766</v>
      </c>
      <c r="K401" s="150"/>
      <c r="L401" s="149"/>
      <c r="M401" s="149"/>
      <c r="N401" s="150"/>
      <c r="O401" s="150"/>
      <c r="P401" s="150"/>
      <c r="Q401" s="150"/>
    </row>
    <row r="402">
      <c r="A402" s="157" t="b">
        <v>0</v>
      </c>
      <c r="B402" s="150"/>
      <c r="C402" s="151" t="s">
        <v>414</v>
      </c>
      <c r="D402" s="150"/>
      <c r="E402" s="162" t="s">
        <v>217</v>
      </c>
      <c r="F402" s="150"/>
      <c r="G402" s="160" t="s">
        <v>332</v>
      </c>
      <c r="H402" s="150"/>
      <c r="I402" s="150"/>
      <c r="J402" s="160" t="s">
        <v>767</v>
      </c>
      <c r="K402" s="150"/>
      <c r="L402" s="149"/>
      <c r="M402" s="149"/>
      <c r="N402" s="150"/>
      <c r="O402" s="150"/>
      <c r="P402" s="150"/>
      <c r="Q402" s="150"/>
    </row>
    <row r="403">
      <c r="A403" s="157" t="b">
        <v>0</v>
      </c>
      <c r="B403" s="150"/>
      <c r="C403" s="151" t="s">
        <v>414</v>
      </c>
      <c r="D403" s="150"/>
      <c r="E403" s="162" t="s">
        <v>217</v>
      </c>
      <c r="F403" s="150"/>
      <c r="G403" s="160" t="s">
        <v>333</v>
      </c>
      <c r="H403" s="150"/>
      <c r="I403" s="150"/>
      <c r="J403" s="160" t="s">
        <v>768</v>
      </c>
      <c r="K403" s="150"/>
      <c r="L403" s="149"/>
      <c r="M403" s="149"/>
      <c r="N403" s="150"/>
      <c r="O403" s="150"/>
      <c r="P403" s="150"/>
      <c r="Q403" s="150"/>
    </row>
    <row r="404">
      <c r="A404" s="157" t="b">
        <v>0</v>
      </c>
      <c r="B404" s="150"/>
      <c r="C404" s="151" t="s">
        <v>414</v>
      </c>
      <c r="D404" s="150"/>
      <c r="E404" s="162" t="s">
        <v>217</v>
      </c>
      <c r="F404" s="150"/>
      <c r="G404" s="160" t="s">
        <v>333</v>
      </c>
      <c r="H404" s="150"/>
      <c r="I404" s="150"/>
      <c r="J404" s="160" t="s">
        <v>769</v>
      </c>
      <c r="K404" s="150"/>
      <c r="L404" s="149"/>
      <c r="M404" s="149"/>
      <c r="N404" s="150"/>
      <c r="O404" s="150"/>
      <c r="P404" s="150"/>
      <c r="Q404" s="150"/>
    </row>
    <row r="405">
      <c r="A405" s="157" t="b">
        <v>0</v>
      </c>
      <c r="B405" s="150"/>
      <c r="C405" s="151" t="s">
        <v>414</v>
      </c>
      <c r="D405" s="150"/>
      <c r="E405" s="162" t="s">
        <v>217</v>
      </c>
      <c r="F405" s="150"/>
      <c r="G405" s="160" t="s">
        <v>333</v>
      </c>
      <c r="H405" s="150"/>
      <c r="I405" s="150"/>
      <c r="J405" s="160" t="s">
        <v>770</v>
      </c>
      <c r="K405" s="150"/>
      <c r="L405" s="149"/>
      <c r="M405" s="149"/>
      <c r="N405" s="150"/>
      <c r="O405" s="150"/>
      <c r="P405" s="150"/>
      <c r="Q405" s="150"/>
    </row>
    <row r="406">
      <c r="A406" s="157" t="b">
        <v>0</v>
      </c>
      <c r="B406" s="150"/>
      <c r="C406" s="151" t="s">
        <v>414</v>
      </c>
      <c r="D406" s="150"/>
      <c r="E406" s="162" t="s">
        <v>217</v>
      </c>
      <c r="F406" s="150"/>
      <c r="G406" s="160" t="s">
        <v>333</v>
      </c>
      <c r="H406" s="150"/>
      <c r="I406" s="150"/>
      <c r="J406" s="160"/>
      <c r="K406" s="150"/>
      <c r="L406" s="149"/>
      <c r="M406" s="149"/>
      <c r="N406" s="150"/>
      <c r="O406" s="150"/>
      <c r="P406" s="150"/>
      <c r="Q406" s="150"/>
    </row>
    <row r="407">
      <c r="A407" s="157" t="b">
        <v>0</v>
      </c>
      <c r="B407" s="150"/>
      <c r="C407" s="151" t="s">
        <v>414</v>
      </c>
      <c r="D407" s="150"/>
      <c r="E407" s="162" t="s">
        <v>217</v>
      </c>
      <c r="F407" s="150"/>
      <c r="G407" s="160" t="s">
        <v>334</v>
      </c>
      <c r="H407" s="150"/>
      <c r="I407" s="150"/>
      <c r="J407" s="160" t="s">
        <v>771</v>
      </c>
      <c r="K407" s="150"/>
      <c r="L407" s="149"/>
      <c r="M407" s="149"/>
      <c r="N407" s="150"/>
      <c r="O407" s="150"/>
      <c r="P407" s="150"/>
      <c r="Q407" s="150"/>
    </row>
    <row r="408">
      <c r="A408" s="157" t="b">
        <v>0</v>
      </c>
      <c r="B408" s="150"/>
      <c r="C408" s="151" t="s">
        <v>414</v>
      </c>
      <c r="D408" s="150"/>
      <c r="E408" s="162" t="s">
        <v>217</v>
      </c>
      <c r="F408" s="150"/>
      <c r="G408" s="160" t="s">
        <v>334</v>
      </c>
      <c r="H408" s="150"/>
      <c r="I408" s="150"/>
      <c r="J408" s="160" t="s">
        <v>772</v>
      </c>
      <c r="K408" s="150"/>
      <c r="L408" s="149"/>
      <c r="M408" s="149"/>
      <c r="N408" s="150"/>
      <c r="O408" s="150"/>
      <c r="P408" s="150"/>
      <c r="Q408" s="150"/>
    </row>
    <row r="409">
      <c r="A409" s="157" t="b">
        <v>0</v>
      </c>
      <c r="B409" s="150"/>
      <c r="C409" s="151" t="s">
        <v>414</v>
      </c>
      <c r="D409" s="150"/>
      <c r="E409" s="162" t="s">
        <v>217</v>
      </c>
      <c r="F409" s="150"/>
      <c r="G409" s="160" t="s">
        <v>334</v>
      </c>
      <c r="H409" s="150"/>
      <c r="I409" s="150"/>
      <c r="J409" s="160" t="s">
        <v>773</v>
      </c>
      <c r="K409" s="150"/>
      <c r="L409" s="149"/>
      <c r="M409" s="149"/>
      <c r="N409" s="150"/>
      <c r="O409" s="150"/>
      <c r="P409" s="150"/>
      <c r="Q409" s="150"/>
    </row>
    <row r="410">
      <c r="A410" s="157" t="b">
        <v>0</v>
      </c>
      <c r="B410" s="150"/>
      <c r="C410" s="151" t="s">
        <v>414</v>
      </c>
      <c r="D410" s="150"/>
      <c r="E410" s="162" t="s">
        <v>217</v>
      </c>
      <c r="F410" s="150"/>
      <c r="G410" s="160" t="s">
        <v>335</v>
      </c>
      <c r="H410" s="150"/>
      <c r="I410" s="150"/>
      <c r="J410" s="160"/>
      <c r="K410" s="150"/>
      <c r="L410" s="149"/>
      <c r="M410" s="149"/>
      <c r="N410" s="150"/>
      <c r="O410" s="150"/>
      <c r="P410" s="150"/>
      <c r="Q410" s="150"/>
    </row>
    <row r="411">
      <c r="A411" s="157" t="b">
        <v>0</v>
      </c>
      <c r="B411" s="150"/>
      <c r="C411" s="151" t="s">
        <v>414</v>
      </c>
      <c r="D411" s="150"/>
      <c r="E411" s="162" t="s">
        <v>217</v>
      </c>
      <c r="F411" s="150"/>
      <c r="G411" s="160" t="s">
        <v>336</v>
      </c>
      <c r="H411" s="150"/>
      <c r="I411" s="150"/>
      <c r="J411" s="160" t="s">
        <v>774</v>
      </c>
      <c r="K411" s="150"/>
      <c r="L411" s="149"/>
      <c r="M411" s="149"/>
      <c r="N411" s="150"/>
      <c r="O411" s="150"/>
      <c r="P411" s="150"/>
      <c r="Q411" s="150"/>
    </row>
    <row r="412">
      <c r="A412" s="157" t="b">
        <v>0</v>
      </c>
      <c r="B412" s="150"/>
      <c r="C412" s="151" t="s">
        <v>414</v>
      </c>
      <c r="D412" s="150"/>
      <c r="E412" s="162" t="s">
        <v>217</v>
      </c>
      <c r="F412" s="150"/>
      <c r="G412" s="160" t="s">
        <v>336</v>
      </c>
      <c r="H412" s="150"/>
      <c r="I412" s="150"/>
      <c r="J412" s="160" t="s">
        <v>775</v>
      </c>
      <c r="K412" s="150"/>
      <c r="L412" s="149"/>
      <c r="M412" s="149"/>
      <c r="N412" s="150"/>
      <c r="O412" s="150"/>
      <c r="P412" s="150"/>
      <c r="Q412" s="150"/>
    </row>
    <row r="413">
      <c r="A413" s="157" t="b">
        <v>0</v>
      </c>
      <c r="B413" s="150"/>
      <c r="C413" s="151" t="s">
        <v>414</v>
      </c>
      <c r="D413" s="150"/>
      <c r="E413" s="162" t="s">
        <v>217</v>
      </c>
      <c r="F413" s="150"/>
      <c r="G413" s="160" t="s">
        <v>336</v>
      </c>
      <c r="H413" s="150"/>
      <c r="I413" s="150"/>
      <c r="J413" s="160" t="s">
        <v>776</v>
      </c>
      <c r="K413" s="150"/>
      <c r="L413" s="149"/>
      <c r="M413" s="149"/>
      <c r="N413" s="150"/>
      <c r="O413" s="150"/>
      <c r="P413" s="150"/>
      <c r="Q413" s="150"/>
    </row>
    <row r="414">
      <c r="A414" s="157" t="b">
        <v>0</v>
      </c>
      <c r="B414" s="150"/>
      <c r="C414" s="151" t="s">
        <v>414</v>
      </c>
      <c r="D414" s="150"/>
      <c r="E414" s="162" t="s">
        <v>217</v>
      </c>
      <c r="F414" s="150"/>
      <c r="G414" s="160" t="s">
        <v>337</v>
      </c>
      <c r="H414" s="150"/>
      <c r="I414" s="150"/>
      <c r="J414" s="160" t="s">
        <v>777</v>
      </c>
      <c r="K414" s="150"/>
      <c r="L414" s="149"/>
      <c r="M414" s="149"/>
      <c r="N414" s="150"/>
      <c r="O414" s="150"/>
      <c r="P414" s="150"/>
      <c r="Q414" s="150"/>
    </row>
    <row r="415">
      <c r="A415" s="157" t="b">
        <v>0</v>
      </c>
      <c r="B415" s="150"/>
      <c r="C415" s="151" t="s">
        <v>414</v>
      </c>
      <c r="D415" s="150"/>
      <c r="E415" s="162" t="s">
        <v>217</v>
      </c>
      <c r="F415" s="150"/>
      <c r="G415" s="160" t="s">
        <v>337</v>
      </c>
      <c r="H415" s="150"/>
      <c r="I415" s="150"/>
      <c r="J415" s="160" t="s">
        <v>778</v>
      </c>
      <c r="K415" s="150"/>
      <c r="L415" s="149"/>
      <c r="M415" s="149"/>
      <c r="N415" s="150"/>
      <c r="O415" s="150"/>
      <c r="P415" s="150"/>
      <c r="Q415" s="150"/>
    </row>
    <row r="416">
      <c r="A416" s="157" t="b">
        <v>0</v>
      </c>
      <c r="B416" s="150"/>
      <c r="C416" s="151" t="s">
        <v>414</v>
      </c>
      <c r="D416" s="150"/>
      <c r="E416" s="162" t="s">
        <v>217</v>
      </c>
      <c r="F416" s="150"/>
      <c r="G416" s="160" t="s">
        <v>337</v>
      </c>
      <c r="H416" s="150"/>
      <c r="I416" s="150"/>
      <c r="J416" s="160" t="s">
        <v>779</v>
      </c>
      <c r="K416" s="150"/>
      <c r="L416" s="149"/>
      <c r="M416" s="149"/>
      <c r="N416" s="150"/>
      <c r="O416" s="150"/>
      <c r="P416" s="150"/>
      <c r="Q416" s="150"/>
    </row>
    <row r="417">
      <c r="A417" s="157" t="b">
        <v>0</v>
      </c>
      <c r="B417" s="150"/>
      <c r="C417" s="151" t="s">
        <v>414</v>
      </c>
      <c r="D417" s="150"/>
      <c r="E417" s="162" t="s">
        <v>217</v>
      </c>
      <c r="F417" s="150"/>
      <c r="G417" s="160" t="s">
        <v>338</v>
      </c>
      <c r="H417" s="150"/>
      <c r="I417" s="150"/>
      <c r="J417" s="160"/>
      <c r="K417" s="150"/>
      <c r="L417" s="149"/>
      <c r="M417" s="149"/>
      <c r="N417" s="150"/>
      <c r="O417" s="150"/>
      <c r="P417" s="150"/>
      <c r="Q417" s="150"/>
    </row>
    <row r="418">
      <c r="A418" s="157" t="b">
        <v>0</v>
      </c>
      <c r="B418" s="150"/>
      <c r="C418" s="151" t="s">
        <v>414</v>
      </c>
      <c r="D418" s="150"/>
      <c r="E418" s="162" t="s">
        <v>217</v>
      </c>
      <c r="F418" s="150"/>
      <c r="G418" s="160" t="s">
        <v>339</v>
      </c>
      <c r="H418" s="150"/>
      <c r="I418" s="150"/>
      <c r="J418" s="160"/>
      <c r="K418" s="150"/>
      <c r="L418" s="149"/>
      <c r="M418" s="149"/>
      <c r="N418" s="150"/>
      <c r="O418" s="150"/>
      <c r="P418" s="150"/>
      <c r="Q418" s="150"/>
    </row>
    <row r="419">
      <c r="A419" s="157" t="b">
        <v>0</v>
      </c>
      <c r="B419" s="150"/>
      <c r="C419" s="151" t="s">
        <v>414</v>
      </c>
      <c r="D419" s="150"/>
      <c r="E419" s="162" t="s">
        <v>217</v>
      </c>
      <c r="F419" s="150"/>
      <c r="G419" s="160" t="s">
        <v>340</v>
      </c>
      <c r="H419" s="150"/>
      <c r="I419" s="150"/>
      <c r="J419" s="160"/>
      <c r="K419" s="150"/>
      <c r="L419" s="149"/>
      <c r="M419" s="149"/>
      <c r="N419" s="150"/>
      <c r="O419" s="150"/>
      <c r="P419" s="150"/>
      <c r="Q419" s="150"/>
    </row>
    <row r="420">
      <c r="A420" s="157" t="b">
        <v>0</v>
      </c>
      <c r="B420" s="150"/>
      <c r="C420" s="151" t="s">
        <v>414</v>
      </c>
      <c r="D420" s="150"/>
      <c r="E420" s="162" t="s">
        <v>217</v>
      </c>
      <c r="F420" s="150"/>
      <c r="G420" s="160" t="s">
        <v>341</v>
      </c>
      <c r="H420" s="150"/>
      <c r="I420" s="150"/>
      <c r="J420" s="160"/>
      <c r="K420" s="150"/>
      <c r="L420" s="149"/>
      <c r="M420" s="149"/>
      <c r="N420" s="150"/>
      <c r="O420" s="150"/>
      <c r="P420" s="150"/>
      <c r="Q420" s="150"/>
    </row>
    <row r="421">
      <c r="A421" s="157" t="b">
        <v>0</v>
      </c>
      <c r="B421" s="150"/>
      <c r="C421" s="151" t="s">
        <v>414</v>
      </c>
      <c r="D421" s="150"/>
      <c r="E421" s="162" t="s">
        <v>217</v>
      </c>
      <c r="F421" s="150"/>
      <c r="G421" s="160" t="s">
        <v>342</v>
      </c>
      <c r="H421" s="150"/>
      <c r="I421" s="150"/>
      <c r="J421" s="160" t="s">
        <v>780</v>
      </c>
      <c r="K421" s="150"/>
      <c r="L421" s="149"/>
      <c r="M421" s="149"/>
      <c r="N421" s="150"/>
      <c r="O421" s="150"/>
      <c r="P421" s="150"/>
      <c r="Q421" s="150"/>
    </row>
    <row r="422">
      <c r="A422" s="157" t="b">
        <v>0</v>
      </c>
      <c r="B422" s="150"/>
      <c r="C422" s="151" t="s">
        <v>414</v>
      </c>
      <c r="D422" s="150"/>
      <c r="E422" s="162" t="s">
        <v>217</v>
      </c>
      <c r="F422" s="150"/>
      <c r="G422" s="160" t="s">
        <v>342</v>
      </c>
      <c r="H422" s="150"/>
      <c r="I422" s="150"/>
      <c r="J422" s="160" t="s">
        <v>781</v>
      </c>
      <c r="K422" s="150"/>
      <c r="L422" s="149"/>
      <c r="M422" s="149"/>
      <c r="N422" s="150"/>
      <c r="O422" s="150"/>
      <c r="P422" s="150"/>
      <c r="Q422" s="150"/>
    </row>
    <row r="423">
      <c r="A423" s="157" t="b">
        <v>0</v>
      </c>
      <c r="B423" s="150"/>
      <c r="C423" s="151" t="s">
        <v>414</v>
      </c>
      <c r="D423" s="150"/>
      <c r="E423" s="162" t="s">
        <v>217</v>
      </c>
      <c r="F423" s="150"/>
      <c r="G423" s="160" t="s">
        <v>342</v>
      </c>
      <c r="H423" s="150"/>
      <c r="I423" s="150"/>
      <c r="J423" s="160" t="s">
        <v>782</v>
      </c>
      <c r="K423" s="150"/>
      <c r="L423" s="149"/>
      <c r="M423" s="149"/>
      <c r="N423" s="150"/>
      <c r="O423" s="150"/>
      <c r="P423" s="150"/>
      <c r="Q423" s="150"/>
    </row>
    <row r="424">
      <c r="A424" s="157" t="b">
        <v>0</v>
      </c>
      <c r="B424" s="150"/>
      <c r="C424" s="151" t="s">
        <v>414</v>
      </c>
      <c r="D424" s="150"/>
      <c r="E424" s="162" t="s">
        <v>207</v>
      </c>
      <c r="F424" s="150"/>
      <c r="G424" s="160" t="s">
        <v>269</v>
      </c>
      <c r="H424" s="150"/>
      <c r="I424" s="150"/>
      <c r="J424" s="160" t="s">
        <v>783</v>
      </c>
      <c r="K424" s="150"/>
      <c r="L424" s="149"/>
      <c r="M424" s="149"/>
      <c r="N424" s="150"/>
      <c r="O424" s="150"/>
      <c r="P424" s="150"/>
      <c r="Q424" s="150"/>
    </row>
    <row r="425">
      <c r="A425" s="157" t="b">
        <v>0</v>
      </c>
      <c r="B425" s="150"/>
      <c r="C425" s="151" t="s">
        <v>414</v>
      </c>
      <c r="D425" s="150"/>
      <c r="E425" s="162" t="s">
        <v>219</v>
      </c>
      <c r="F425" s="150"/>
      <c r="G425" s="160" t="s">
        <v>343</v>
      </c>
      <c r="H425" s="150"/>
      <c r="I425" s="150"/>
      <c r="J425" s="160" t="s">
        <v>784</v>
      </c>
      <c r="K425" s="150"/>
      <c r="L425" s="149"/>
      <c r="M425" s="149"/>
      <c r="N425" s="150"/>
      <c r="O425" s="150"/>
      <c r="P425" s="150"/>
      <c r="Q425" s="150"/>
    </row>
    <row r="426">
      <c r="A426" s="157" t="b">
        <v>0</v>
      </c>
      <c r="B426" s="150"/>
      <c r="C426" s="151" t="s">
        <v>414</v>
      </c>
      <c r="D426" s="150"/>
      <c r="E426" s="162" t="s">
        <v>219</v>
      </c>
      <c r="F426" s="150"/>
      <c r="G426" s="160" t="s">
        <v>343</v>
      </c>
      <c r="H426" s="150"/>
      <c r="I426" s="150"/>
      <c r="J426" s="160" t="s">
        <v>785</v>
      </c>
      <c r="K426" s="150"/>
      <c r="L426" s="149"/>
      <c r="M426" s="149"/>
      <c r="N426" s="150"/>
      <c r="O426" s="150"/>
      <c r="P426" s="150"/>
      <c r="Q426" s="150"/>
    </row>
    <row r="427">
      <c r="A427" s="157" t="b">
        <v>0</v>
      </c>
      <c r="B427" s="150"/>
      <c r="C427" s="151" t="s">
        <v>414</v>
      </c>
      <c r="D427" s="150"/>
      <c r="E427" s="162" t="s">
        <v>219</v>
      </c>
      <c r="F427" s="150"/>
      <c r="G427" s="160" t="s">
        <v>343</v>
      </c>
      <c r="H427" s="150"/>
      <c r="I427" s="150"/>
      <c r="J427" s="160" t="s">
        <v>786</v>
      </c>
      <c r="K427" s="150"/>
      <c r="L427" s="149"/>
      <c r="M427" s="149"/>
      <c r="N427" s="150"/>
      <c r="O427" s="150"/>
      <c r="P427" s="150"/>
      <c r="Q427" s="150"/>
    </row>
    <row r="428">
      <c r="A428" s="157" t="b">
        <v>0</v>
      </c>
      <c r="B428" s="150"/>
      <c r="C428" s="151" t="s">
        <v>414</v>
      </c>
      <c r="D428" s="150"/>
      <c r="E428" s="162" t="s">
        <v>219</v>
      </c>
      <c r="F428" s="150"/>
      <c r="G428" s="160" t="s">
        <v>344</v>
      </c>
      <c r="H428" s="150"/>
      <c r="I428" s="150"/>
      <c r="J428" s="160"/>
      <c r="K428" s="150"/>
      <c r="L428" s="149"/>
      <c r="M428" s="149"/>
      <c r="N428" s="150"/>
      <c r="O428" s="150"/>
      <c r="P428" s="150"/>
      <c r="Q428" s="150"/>
    </row>
    <row r="429">
      <c r="A429" s="157" t="b">
        <v>0</v>
      </c>
      <c r="B429" s="150"/>
      <c r="C429" s="151" t="s">
        <v>414</v>
      </c>
      <c r="D429" s="150"/>
      <c r="E429" s="162" t="s">
        <v>219</v>
      </c>
      <c r="F429" s="150"/>
      <c r="G429" s="160" t="s">
        <v>345</v>
      </c>
      <c r="H429" s="150"/>
      <c r="I429" s="150"/>
      <c r="J429" s="160"/>
      <c r="K429" s="150"/>
      <c r="L429" s="149"/>
      <c r="M429" s="149"/>
      <c r="N429" s="150"/>
      <c r="O429" s="150"/>
      <c r="P429" s="150"/>
      <c r="Q429" s="150"/>
    </row>
    <row r="430">
      <c r="A430" s="157" t="b">
        <v>0</v>
      </c>
      <c r="B430" s="150"/>
      <c r="C430" s="151" t="s">
        <v>414</v>
      </c>
      <c r="D430" s="150"/>
      <c r="E430" s="162" t="s">
        <v>219</v>
      </c>
      <c r="F430" s="150"/>
      <c r="G430" s="160" t="s">
        <v>346</v>
      </c>
      <c r="H430" s="150"/>
      <c r="I430" s="150"/>
      <c r="J430" s="160" t="s">
        <v>787</v>
      </c>
      <c r="K430" s="150"/>
      <c r="L430" s="149"/>
      <c r="M430" s="149"/>
      <c r="N430" s="150"/>
      <c r="O430" s="150"/>
      <c r="P430" s="150"/>
      <c r="Q430" s="150"/>
    </row>
    <row r="431">
      <c r="A431" s="157" t="b">
        <v>0</v>
      </c>
      <c r="B431" s="150"/>
      <c r="C431" s="151" t="s">
        <v>414</v>
      </c>
      <c r="D431" s="150"/>
      <c r="E431" s="162" t="s">
        <v>219</v>
      </c>
      <c r="F431" s="150"/>
      <c r="G431" s="160" t="s">
        <v>346</v>
      </c>
      <c r="H431" s="150"/>
      <c r="I431" s="150"/>
      <c r="J431" s="160" t="s">
        <v>529</v>
      </c>
      <c r="K431" s="150"/>
      <c r="L431" s="149"/>
      <c r="M431" s="149"/>
      <c r="N431" s="150"/>
      <c r="O431" s="150"/>
      <c r="P431" s="150"/>
      <c r="Q431" s="150"/>
    </row>
    <row r="432">
      <c r="A432" s="157" t="b">
        <v>0</v>
      </c>
      <c r="B432" s="150"/>
      <c r="C432" s="151" t="s">
        <v>414</v>
      </c>
      <c r="D432" s="150"/>
      <c r="E432" s="162" t="s">
        <v>219</v>
      </c>
      <c r="F432" s="150"/>
      <c r="G432" s="160" t="s">
        <v>346</v>
      </c>
      <c r="H432" s="150"/>
      <c r="I432" s="150"/>
      <c r="J432" s="160" t="s">
        <v>788</v>
      </c>
      <c r="K432" s="150"/>
      <c r="L432" s="149"/>
      <c r="M432" s="149"/>
      <c r="N432" s="150"/>
      <c r="O432" s="150"/>
      <c r="P432" s="150"/>
      <c r="Q432" s="150"/>
    </row>
    <row r="433">
      <c r="A433" s="157" t="b">
        <v>0</v>
      </c>
      <c r="B433" s="150"/>
      <c r="C433" s="151" t="s">
        <v>414</v>
      </c>
      <c r="D433" s="150"/>
      <c r="E433" s="162" t="s">
        <v>219</v>
      </c>
      <c r="F433" s="150"/>
      <c r="G433" s="160" t="s">
        <v>347</v>
      </c>
      <c r="H433" s="150"/>
      <c r="I433" s="150"/>
      <c r="J433" s="160"/>
      <c r="K433" s="150"/>
      <c r="L433" s="149"/>
      <c r="M433" s="149"/>
      <c r="N433" s="150"/>
      <c r="O433" s="150"/>
      <c r="P433" s="150"/>
      <c r="Q433" s="150"/>
    </row>
    <row r="434">
      <c r="A434" s="157" t="b">
        <v>0</v>
      </c>
      <c r="B434" s="150"/>
      <c r="C434" s="151" t="s">
        <v>414</v>
      </c>
      <c r="D434" s="150"/>
      <c r="E434" s="162" t="s">
        <v>219</v>
      </c>
      <c r="F434" s="150"/>
      <c r="G434" s="160" t="s">
        <v>348</v>
      </c>
      <c r="H434" s="150"/>
      <c r="I434" s="150"/>
      <c r="J434" s="160" t="s">
        <v>789</v>
      </c>
      <c r="K434" s="150"/>
      <c r="L434" s="149"/>
      <c r="M434" s="149"/>
      <c r="N434" s="150"/>
      <c r="O434" s="150"/>
      <c r="P434" s="150"/>
      <c r="Q434" s="150"/>
    </row>
    <row r="435">
      <c r="A435" s="157" t="b">
        <v>0</v>
      </c>
      <c r="B435" s="150"/>
      <c r="C435" s="151" t="s">
        <v>414</v>
      </c>
      <c r="D435" s="150"/>
      <c r="E435" s="162" t="s">
        <v>219</v>
      </c>
      <c r="F435" s="150"/>
      <c r="G435" s="160" t="s">
        <v>348</v>
      </c>
      <c r="H435" s="150"/>
      <c r="I435" s="150"/>
      <c r="J435" s="160" t="s">
        <v>790</v>
      </c>
      <c r="K435" s="150"/>
      <c r="L435" s="149"/>
      <c r="M435" s="149"/>
      <c r="N435" s="150"/>
      <c r="O435" s="150"/>
      <c r="P435" s="150"/>
      <c r="Q435" s="150"/>
    </row>
    <row r="436">
      <c r="A436" s="157" t="b">
        <v>0</v>
      </c>
      <c r="B436" s="150"/>
      <c r="C436" s="151" t="s">
        <v>414</v>
      </c>
      <c r="D436" s="150"/>
      <c r="E436" s="162" t="s">
        <v>219</v>
      </c>
      <c r="F436" s="150"/>
      <c r="G436" s="160" t="s">
        <v>348</v>
      </c>
      <c r="H436" s="150"/>
      <c r="I436" s="150"/>
      <c r="J436" s="160" t="s">
        <v>791</v>
      </c>
      <c r="K436" s="150"/>
      <c r="L436" s="149"/>
      <c r="M436" s="149"/>
      <c r="N436" s="150"/>
      <c r="O436" s="150"/>
      <c r="P436" s="150"/>
      <c r="Q436" s="150"/>
    </row>
    <row r="437">
      <c r="A437" s="157" t="b">
        <v>0</v>
      </c>
      <c r="B437" s="150"/>
      <c r="C437" s="151" t="s">
        <v>414</v>
      </c>
      <c r="D437" s="150"/>
      <c r="E437" s="162" t="s">
        <v>219</v>
      </c>
      <c r="F437" s="150"/>
      <c r="G437" s="160" t="s">
        <v>349</v>
      </c>
      <c r="H437" s="150"/>
      <c r="I437" s="150"/>
      <c r="J437" s="160" t="s">
        <v>792</v>
      </c>
      <c r="K437" s="150"/>
      <c r="L437" s="149"/>
      <c r="M437" s="149"/>
      <c r="N437" s="150"/>
      <c r="O437" s="150"/>
      <c r="P437" s="150"/>
      <c r="Q437" s="150"/>
    </row>
    <row r="438">
      <c r="A438" s="157" t="b">
        <v>0</v>
      </c>
      <c r="B438" s="150"/>
      <c r="C438" s="151" t="s">
        <v>414</v>
      </c>
      <c r="D438" s="150"/>
      <c r="E438" s="162" t="s">
        <v>219</v>
      </c>
      <c r="F438" s="150"/>
      <c r="G438" s="160" t="s">
        <v>349</v>
      </c>
      <c r="H438" s="150"/>
      <c r="I438" s="150"/>
      <c r="J438" s="160" t="s">
        <v>793</v>
      </c>
      <c r="K438" s="150"/>
      <c r="L438" s="149"/>
      <c r="M438" s="149"/>
      <c r="N438" s="150"/>
      <c r="O438" s="150"/>
      <c r="P438" s="150"/>
      <c r="Q438" s="150"/>
    </row>
    <row r="439">
      <c r="A439" s="157" t="b">
        <v>0</v>
      </c>
      <c r="B439" s="150"/>
      <c r="C439" s="151" t="s">
        <v>414</v>
      </c>
      <c r="D439" s="150"/>
      <c r="E439" s="162" t="s">
        <v>219</v>
      </c>
      <c r="F439" s="150"/>
      <c r="G439" s="160" t="s">
        <v>349</v>
      </c>
      <c r="H439" s="150"/>
      <c r="I439" s="150"/>
      <c r="J439" s="160" t="s">
        <v>794</v>
      </c>
      <c r="K439" s="150"/>
      <c r="L439" s="149"/>
      <c r="M439" s="149"/>
      <c r="N439" s="150"/>
      <c r="O439" s="150"/>
      <c r="P439" s="150"/>
      <c r="Q439" s="150"/>
    </row>
    <row r="440">
      <c r="A440" s="157" t="b">
        <v>0</v>
      </c>
      <c r="B440" s="150"/>
      <c r="C440" s="151" t="s">
        <v>414</v>
      </c>
      <c r="D440" s="150"/>
      <c r="E440" s="162" t="s">
        <v>219</v>
      </c>
      <c r="F440" s="150"/>
      <c r="G440" s="160" t="s">
        <v>350</v>
      </c>
      <c r="H440" s="150"/>
      <c r="I440" s="150"/>
      <c r="J440" s="160"/>
      <c r="K440" s="150"/>
      <c r="L440" s="149"/>
      <c r="M440" s="149"/>
      <c r="N440" s="150"/>
      <c r="O440" s="150"/>
      <c r="P440" s="150"/>
      <c r="Q440" s="150"/>
    </row>
    <row r="441">
      <c r="A441" s="157" t="b">
        <v>0</v>
      </c>
      <c r="B441" s="150"/>
      <c r="C441" s="151" t="s">
        <v>414</v>
      </c>
      <c r="D441" s="150"/>
      <c r="E441" s="162" t="s">
        <v>219</v>
      </c>
      <c r="F441" s="150"/>
      <c r="G441" s="160" t="s">
        <v>351</v>
      </c>
      <c r="H441" s="150"/>
      <c r="I441" s="150"/>
      <c r="J441" s="160" t="s">
        <v>795</v>
      </c>
      <c r="K441" s="150"/>
      <c r="L441" s="149"/>
      <c r="M441" s="149"/>
      <c r="N441" s="150"/>
      <c r="O441" s="150"/>
      <c r="P441" s="150"/>
      <c r="Q441" s="150"/>
    </row>
    <row r="442">
      <c r="A442" s="157" t="b">
        <v>0</v>
      </c>
      <c r="B442" s="150"/>
      <c r="C442" s="151" t="s">
        <v>414</v>
      </c>
      <c r="D442" s="150"/>
      <c r="E442" s="162" t="s">
        <v>219</v>
      </c>
      <c r="F442" s="150"/>
      <c r="G442" s="160" t="s">
        <v>351</v>
      </c>
      <c r="H442" s="150"/>
      <c r="I442" s="150"/>
      <c r="J442" s="160" t="s">
        <v>796</v>
      </c>
      <c r="K442" s="150"/>
      <c r="L442" s="149"/>
      <c r="M442" s="149"/>
      <c r="N442" s="150"/>
      <c r="O442" s="150"/>
      <c r="P442" s="150"/>
      <c r="Q442" s="150"/>
    </row>
    <row r="443">
      <c r="A443" s="157" t="b">
        <v>0</v>
      </c>
      <c r="B443" s="150"/>
      <c r="C443" s="151" t="s">
        <v>414</v>
      </c>
      <c r="D443" s="150"/>
      <c r="E443" s="160" t="s">
        <v>221</v>
      </c>
      <c r="F443" s="150"/>
      <c r="G443" s="160" t="s">
        <v>352</v>
      </c>
      <c r="H443" s="150"/>
      <c r="I443" s="150"/>
      <c r="J443" s="160"/>
      <c r="K443" s="150"/>
      <c r="L443" s="149"/>
      <c r="M443" s="149"/>
      <c r="N443" s="150"/>
      <c r="O443" s="150"/>
      <c r="P443" s="150"/>
      <c r="Q443" s="150"/>
    </row>
    <row r="444">
      <c r="A444" s="157" t="b">
        <v>0</v>
      </c>
      <c r="B444" s="150"/>
      <c r="C444" s="151" t="s">
        <v>414</v>
      </c>
      <c r="D444" s="150"/>
      <c r="E444" s="160" t="s">
        <v>221</v>
      </c>
      <c r="F444" s="150"/>
      <c r="G444" s="160" t="s">
        <v>353</v>
      </c>
      <c r="H444" s="150"/>
      <c r="I444" s="150"/>
      <c r="J444" s="160"/>
      <c r="K444" s="150"/>
      <c r="L444" s="149"/>
      <c r="M444" s="149"/>
      <c r="N444" s="150"/>
      <c r="O444" s="150"/>
      <c r="P444" s="150"/>
      <c r="Q444" s="150"/>
    </row>
  </sheetData>
  <conditionalFormatting sqref="B3:Q444">
    <cfRule type="expression" dxfId="5" priority="1">
      <formula>"A$3=FALSE"</formula>
    </cfRule>
  </conditionalFormatting>
  <dataValidations>
    <dataValidation type="list" allowBlank="1" showErrorMessage="1" sqref="L3:L444">
      <formula1>"YES"</formula1>
    </dataValidation>
    <dataValidation type="list" allowBlank="1" showErrorMessage="1" sqref="A1:Q1">
      <formula1>'_options_list'!$C$11:$J$11</formula1>
    </dataValidation>
    <dataValidation type="list" allowBlank="1" showErrorMessage="1" sqref="N43:N399">
      <formula1>"Analyse,Create,Search"</formula1>
    </dataValidation>
    <dataValidation type="list" allowBlank="1" showErrorMessage="1" sqref="C3:C444">
      <formula1>"Strategy,Process"</formula1>
    </dataValidation>
    <dataValidation type="list" allowBlank="1" showErrorMessage="1" sqref="M3:M444">
      <formula1>"3 to 0,Text"</formula1>
    </dataValidation>
    <dataValidation type="list" allowBlank="1" showErrorMessage="1" sqref="A3:A444">
      <formula1>'_options_list'!$C$10:$F$10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0D0D"/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1" max="1" width="12.25"/>
    <col customWidth="1" min="2" max="2" width="12.5"/>
    <col customWidth="1" min="3" max="3" width="12.63"/>
    <col customWidth="1" min="4" max="4" width="24.38"/>
    <col customWidth="1" min="5" max="5" width="41.0"/>
    <col customWidth="1" min="6" max="8" width="15.63"/>
    <col customWidth="1" min="9" max="9" width="9.0"/>
    <col customWidth="1" min="10" max="10" width="9.38"/>
  </cols>
  <sheetData>
    <row r="1" ht="20.25" customHeight="1" outlineLevel="1">
      <c r="A1" s="83" t="s">
        <v>86</v>
      </c>
      <c r="B1" s="83" t="s">
        <v>84</v>
      </c>
      <c r="C1" s="83" t="s">
        <v>85</v>
      </c>
      <c r="D1" s="83" t="s">
        <v>85</v>
      </c>
      <c r="E1" s="83" t="s">
        <v>85</v>
      </c>
      <c r="F1" s="83" t="s">
        <v>86</v>
      </c>
      <c r="G1" s="83" t="s">
        <v>86</v>
      </c>
      <c r="H1" s="83" t="s">
        <v>148</v>
      </c>
      <c r="I1" s="83" t="s">
        <v>88</v>
      </c>
      <c r="J1" s="83" t="s">
        <v>88</v>
      </c>
    </row>
    <row r="2" ht="20.25" customHeight="1">
      <c r="A2" s="165" t="str">
        <f>'_lib_questions'!C2</f>
        <v>id_domain_lib</v>
      </c>
      <c r="B2" s="166" t="s">
        <v>797</v>
      </c>
      <c r="C2" s="167" t="s">
        <v>798</v>
      </c>
      <c r="D2" s="167" t="s">
        <v>799</v>
      </c>
      <c r="E2" s="167" t="s">
        <v>800</v>
      </c>
      <c r="F2" s="167" t="s">
        <v>801</v>
      </c>
      <c r="G2" s="167" t="s">
        <v>802</v>
      </c>
      <c r="H2" s="167" t="s">
        <v>803</v>
      </c>
      <c r="I2" s="168" t="s">
        <v>96</v>
      </c>
      <c r="J2" s="168" t="s">
        <v>97</v>
      </c>
    </row>
    <row r="3" ht="20.25" customHeight="1">
      <c r="A3" s="60" t="s">
        <v>414</v>
      </c>
      <c r="B3" s="60" t="s">
        <v>804</v>
      </c>
      <c r="C3" s="97" t="s">
        <v>805</v>
      </c>
      <c r="D3" s="97" t="s">
        <v>806</v>
      </c>
      <c r="E3" s="97" t="s">
        <v>807</v>
      </c>
      <c r="F3" s="134">
        <v>3.0</v>
      </c>
      <c r="G3" s="169">
        <v>1.0</v>
      </c>
      <c r="H3" s="167">
        <f t="shared" ref="H3:H16" si="1">average(F3:G3)</f>
        <v>2</v>
      </c>
      <c r="I3" s="168"/>
      <c r="J3" s="168"/>
    </row>
    <row r="4" ht="20.25" customHeight="1">
      <c r="A4" s="60" t="s">
        <v>414</v>
      </c>
      <c r="B4" s="60" t="s">
        <v>155</v>
      </c>
      <c r="C4" s="97" t="str">
        <f t="shared" ref="C4:C5" si="2">C3</f>
        <v>value</v>
      </c>
      <c r="D4" s="97" t="s">
        <v>808</v>
      </c>
      <c r="E4" s="97" t="s">
        <v>809</v>
      </c>
      <c r="F4" s="134">
        <v>3.0</v>
      </c>
      <c r="G4" s="169">
        <v>1.0</v>
      </c>
      <c r="H4" s="167">
        <f t="shared" si="1"/>
        <v>2</v>
      </c>
      <c r="I4" s="108"/>
      <c r="J4" s="108"/>
    </row>
    <row r="5" ht="20.25" customHeight="1">
      <c r="A5" s="60" t="s">
        <v>414</v>
      </c>
      <c r="B5" s="60" t="s">
        <v>156</v>
      </c>
      <c r="C5" s="97" t="str">
        <f t="shared" si="2"/>
        <v>value</v>
      </c>
      <c r="D5" s="97" t="s">
        <v>810</v>
      </c>
      <c r="E5" s="97" t="s">
        <v>811</v>
      </c>
      <c r="F5" s="134">
        <v>2.0</v>
      </c>
      <c r="G5" s="169">
        <v>1.0</v>
      </c>
      <c r="H5" s="167">
        <f t="shared" si="1"/>
        <v>1.5</v>
      </c>
      <c r="I5" s="170"/>
      <c r="J5" s="170"/>
    </row>
    <row r="6" ht="20.25" customHeight="1">
      <c r="A6" s="60" t="s">
        <v>414</v>
      </c>
      <c r="B6" s="60" t="s">
        <v>157</v>
      </c>
      <c r="C6" s="97" t="s">
        <v>812</v>
      </c>
      <c r="D6" s="97" t="s">
        <v>813</v>
      </c>
      <c r="E6" s="97" t="s">
        <v>814</v>
      </c>
      <c r="F6" s="134">
        <v>3.0</v>
      </c>
      <c r="G6" s="169">
        <v>1.0</v>
      </c>
      <c r="H6" s="167">
        <f t="shared" si="1"/>
        <v>2</v>
      </c>
      <c r="I6" s="170"/>
      <c r="J6" s="170"/>
    </row>
    <row r="7" ht="20.25" customHeight="1">
      <c r="A7" s="60" t="s">
        <v>414</v>
      </c>
      <c r="B7" s="60" t="s">
        <v>158</v>
      </c>
      <c r="C7" s="97" t="str">
        <f>C6</f>
        <v>activity_type</v>
      </c>
      <c r="D7" s="97" t="s">
        <v>815</v>
      </c>
      <c r="E7" s="97" t="s">
        <v>816</v>
      </c>
      <c r="F7" s="134">
        <v>2.0</v>
      </c>
      <c r="G7" s="169">
        <v>1.0</v>
      </c>
      <c r="H7" s="167">
        <f t="shared" si="1"/>
        <v>1.5</v>
      </c>
      <c r="I7" s="170"/>
      <c r="J7" s="170"/>
    </row>
    <row r="8" ht="20.25" customHeight="1">
      <c r="A8" s="60" t="s">
        <v>414</v>
      </c>
      <c r="B8" s="60" t="s">
        <v>159</v>
      </c>
      <c r="C8" s="97" t="str">
        <f>C6</f>
        <v>activity_type</v>
      </c>
      <c r="D8" s="97" t="s">
        <v>817</v>
      </c>
      <c r="E8" s="97" t="s">
        <v>818</v>
      </c>
      <c r="F8" s="134">
        <v>2.0</v>
      </c>
      <c r="G8" s="169">
        <v>1.0</v>
      </c>
      <c r="H8" s="167">
        <f t="shared" si="1"/>
        <v>1.5</v>
      </c>
      <c r="I8" s="170"/>
      <c r="J8" s="170"/>
    </row>
    <row r="9" ht="20.25" customHeight="1">
      <c r="A9" s="60" t="s">
        <v>414</v>
      </c>
      <c r="B9" s="60" t="s">
        <v>160</v>
      </c>
      <c r="C9" s="97" t="str">
        <f>C6</f>
        <v>activity_type</v>
      </c>
      <c r="D9" s="97" t="s">
        <v>819</v>
      </c>
      <c r="E9" s="97" t="s">
        <v>820</v>
      </c>
      <c r="F9" s="134">
        <v>2.0</v>
      </c>
      <c r="G9" s="169">
        <v>1.0</v>
      </c>
      <c r="H9" s="167">
        <f t="shared" si="1"/>
        <v>1.5</v>
      </c>
      <c r="I9" s="170"/>
      <c r="J9" s="170"/>
    </row>
    <row r="10" ht="20.25" customHeight="1">
      <c r="A10" s="60" t="s">
        <v>414</v>
      </c>
      <c r="B10" s="60" t="s">
        <v>161</v>
      </c>
      <c r="C10" s="97" t="s">
        <v>821</v>
      </c>
      <c r="D10" s="97" t="s">
        <v>822</v>
      </c>
      <c r="E10" s="97" t="s">
        <v>823</v>
      </c>
      <c r="F10" s="134">
        <v>2.0</v>
      </c>
      <c r="G10" s="169">
        <v>-1.0</v>
      </c>
      <c r="H10" s="167">
        <f t="shared" si="1"/>
        <v>0.5</v>
      </c>
      <c r="I10" s="170"/>
      <c r="J10" s="170"/>
    </row>
    <row r="11" ht="20.25" customHeight="1">
      <c r="A11" s="60" t="s">
        <v>414</v>
      </c>
      <c r="B11" s="60" t="s">
        <v>162</v>
      </c>
      <c r="C11" s="97" t="str">
        <f>C10</f>
        <v>skill</v>
      </c>
      <c r="D11" s="97" t="s">
        <v>824</v>
      </c>
      <c r="E11" s="97" t="s">
        <v>825</v>
      </c>
      <c r="F11" s="134">
        <v>3.0</v>
      </c>
      <c r="G11" s="169">
        <v>-1.0</v>
      </c>
      <c r="H11" s="167">
        <f t="shared" si="1"/>
        <v>1</v>
      </c>
      <c r="I11" s="170"/>
      <c r="J11" s="170"/>
    </row>
    <row r="12" ht="20.25" customHeight="1">
      <c r="A12" s="60" t="s">
        <v>414</v>
      </c>
      <c r="B12" s="60" t="s">
        <v>163</v>
      </c>
      <c r="C12" s="97" t="s">
        <v>826</v>
      </c>
      <c r="D12" s="97" t="s">
        <v>827</v>
      </c>
      <c r="E12" s="97" t="s">
        <v>828</v>
      </c>
      <c r="F12" s="134">
        <v>2.0</v>
      </c>
      <c r="G12" s="169">
        <v>1.0</v>
      </c>
      <c r="H12" s="167">
        <f t="shared" si="1"/>
        <v>1.5</v>
      </c>
      <c r="I12" s="170"/>
      <c r="J12" s="170"/>
    </row>
    <row r="13" ht="20.25" customHeight="1">
      <c r="A13" s="60" t="s">
        <v>414</v>
      </c>
      <c r="B13" s="60" t="s">
        <v>164</v>
      </c>
      <c r="C13" s="97" t="str">
        <f>C12</f>
        <v>structuration</v>
      </c>
      <c r="D13" s="97" t="s">
        <v>829</v>
      </c>
      <c r="E13" s="97" t="s">
        <v>830</v>
      </c>
      <c r="F13" s="134">
        <v>3.0</v>
      </c>
      <c r="G13" s="169">
        <v>1.0</v>
      </c>
      <c r="H13" s="167">
        <f t="shared" si="1"/>
        <v>2</v>
      </c>
      <c r="I13" s="170"/>
      <c r="J13" s="170"/>
    </row>
    <row r="14" ht="20.25" customHeight="1">
      <c r="A14" s="60" t="s">
        <v>414</v>
      </c>
      <c r="B14" s="60" t="s">
        <v>165</v>
      </c>
      <c r="C14" s="97" t="str">
        <f>C12</f>
        <v>structuration</v>
      </c>
      <c r="D14" s="97" t="s">
        <v>831</v>
      </c>
      <c r="E14" s="97" t="s">
        <v>832</v>
      </c>
      <c r="F14" s="134">
        <v>1.0</v>
      </c>
      <c r="G14" s="169">
        <v>0.0</v>
      </c>
      <c r="H14" s="167">
        <f t="shared" si="1"/>
        <v>0.5</v>
      </c>
      <c r="I14" s="170"/>
      <c r="J14" s="170"/>
    </row>
    <row r="15" ht="20.25" customHeight="1">
      <c r="A15" s="60" t="s">
        <v>414</v>
      </c>
      <c r="B15" s="60" t="s">
        <v>166</v>
      </c>
      <c r="C15" s="97" t="s">
        <v>833</v>
      </c>
      <c r="D15" s="97" t="s">
        <v>834</v>
      </c>
      <c r="E15" s="97" t="s">
        <v>835</v>
      </c>
      <c r="F15" s="134">
        <v>3.0</v>
      </c>
      <c r="G15" s="169">
        <v>1.0</v>
      </c>
      <c r="H15" s="167">
        <f t="shared" si="1"/>
        <v>2</v>
      </c>
      <c r="I15" s="170"/>
      <c r="J15" s="170"/>
    </row>
    <row r="16" ht="20.25" customHeight="1">
      <c r="A16" s="60" t="s">
        <v>414</v>
      </c>
      <c r="B16" s="60" t="s">
        <v>167</v>
      </c>
      <c r="C16" s="97" t="str">
        <f>C15</f>
        <v>input</v>
      </c>
      <c r="D16" s="97" t="s">
        <v>836</v>
      </c>
      <c r="E16" s="97" t="s">
        <v>837</v>
      </c>
      <c r="F16" s="134">
        <v>3.0</v>
      </c>
      <c r="G16" s="169">
        <v>1.0</v>
      </c>
      <c r="H16" s="167">
        <f t="shared" si="1"/>
        <v>2</v>
      </c>
      <c r="I16" s="170"/>
      <c r="J16" s="170"/>
    </row>
  </sheetData>
  <dataValidations>
    <dataValidation type="list" allowBlank="1" showErrorMessage="1" sqref="C3:C16">
      <formula1>"activity_type,input,skill,structuration,value"</formula1>
    </dataValidation>
    <dataValidation type="list" allowBlank="1" showErrorMessage="1" sqref="A1:J1">
      <formula1>'_options_list'!$C$11:$J$11</formula1>
    </dataValidation>
    <dataValidation type="list" allowBlank="1" showErrorMessage="1" sqref="G3:G16">
      <formula1>"1,0,-1"</formula1>
    </dataValidation>
    <dataValidation type="list" allowBlank="1" showErrorMessage="1" sqref="A3:A16">
      <formula1>"Strategy,Process"</formula1>
    </dataValidation>
    <dataValidation type="list" allowBlank="1" showErrorMessage="1" sqref="F3:F16">
      <formula1>"1,2,3"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0D0D"/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2.25"/>
    <col customWidth="1" min="2" max="2" width="18.25"/>
    <col customWidth="1" min="3" max="3" width="42.13"/>
    <col customWidth="1" min="4" max="4" width="10.5"/>
    <col customWidth="1" min="5" max="5" width="11.13"/>
    <col customWidth="1" min="6" max="6" width="15.13"/>
    <col customWidth="1" min="7" max="7" width="15.75"/>
  </cols>
  <sheetData>
    <row r="1" outlineLevel="1">
      <c r="A1" s="46" t="s">
        <v>84</v>
      </c>
      <c r="B1" s="46" t="s">
        <v>85</v>
      </c>
      <c r="C1" s="46" t="s">
        <v>85</v>
      </c>
      <c r="D1" s="46" t="s">
        <v>181</v>
      </c>
      <c r="E1" s="46" t="s">
        <v>181</v>
      </c>
      <c r="F1" s="46" t="s">
        <v>181</v>
      </c>
      <c r="G1" s="46" t="s">
        <v>181</v>
      </c>
    </row>
    <row r="2">
      <c r="A2" s="166" t="s">
        <v>838</v>
      </c>
      <c r="B2" s="166" t="s">
        <v>839</v>
      </c>
      <c r="C2" s="166" t="s">
        <v>110</v>
      </c>
      <c r="D2" s="171" t="s">
        <v>840</v>
      </c>
      <c r="E2" s="171" t="s">
        <v>841</v>
      </c>
      <c r="F2" s="171" t="s">
        <v>842</v>
      </c>
      <c r="G2" s="171" t="s">
        <v>843</v>
      </c>
    </row>
    <row r="3" ht="40.5" customHeight="1">
      <c r="A3" s="172" t="s">
        <v>844</v>
      </c>
      <c r="B3" s="173" t="s">
        <v>845</v>
      </c>
      <c r="C3" s="97" t="s">
        <v>846</v>
      </c>
      <c r="D3" s="174" t="s">
        <v>847</v>
      </c>
      <c r="E3" s="174" t="s">
        <v>848</v>
      </c>
      <c r="F3" s="174" t="s">
        <v>847</v>
      </c>
      <c r="G3" s="174" t="s">
        <v>848</v>
      </c>
    </row>
    <row r="4">
      <c r="A4" s="172" t="s">
        <v>849</v>
      </c>
      <c r="B4" s="173" t="s">
        <v>850</v>
      </c>
      <c r="C4" s="50" t="s">
        <v>851</v>
      </c>
      <c r="D4" s="174" t="s">
        <v>852</v>
      </c>
      <c r="E4" s="174" t="s">
        <v>853</v>
      </c>
      <c r="F4" s="174" t="s">
        <v>847</v>
      </c>
      <c r="G4" s="174" t="s">
        <v>848</v>
      </c>
    </row>
    <row r="5" ht="40.5" customHeight="1">
      <c r="A5" s="172" t="s">
        <v>854</v>
      </c>
      <c r="B5" s="173" t="s">
        <v>855</v>
      </c>
      <c r="C5" s="97" t="s">
        <v>856</v>
      </c>
      <c r="D5" s="174" t="s">
        <v>847</v>
      </c>
      <c r="E5" s="174" t="s">
        <v>848</v>
      </c>
      <c r="F5" s="174" t="s">
        <v>852</v>
      </c>
      <c r="G5" s="174" t="s">
        <v>853</v>
      </c>
    </row>
    <row r="6" ht="40.5" customHeight="1">
      <c r="A6" s="172" t="s">
        <v>857</v>
      </c>
      <c r="B6" s="173" t="s">
        <v>858</v>
      </c>
      <c r="C6" s="97" t="s">
        <v>859</v>
      </c>
      <c r="D6" s="174" t="s">
        <v>852</v>
      </c>
      <c r="E6" s="174" t="s">
        <v>853</v>
      </c>
      <c r="F6" s="174" t="s">
        <v>852</v>
      </c>
      <c r="G6" s="174" t="s">
        <v>853</v>
      </c>
    </row>
  </sheetData>
  <dataValidations>
    <dataValidation type="list" allowBlank="1" showErrorMessage="1" sqref="A1:G1">
      <formula1>'_options_list'!$C$11:$J$11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0D0D"/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1" max="1" width="8.5"/>
    <col customWidth="1" min="2" max="2" width="12.5"/>
    <col customWidth="1" min="3" max="3" width="11.0"/>
    <col customWidth="1" min="4" max="4" width="13.25"/>
    <col customWidth="1" min="5" max="5" width="9.13"/>
    <col customWidth="1" min="6" max="6" width="7.63"/>
    <col customWidth="1" min="7" max="7" width="9.13"/>
    <col customWidth="1" min="8" max="8" width="10.25"/>
    <col customWidth="1" min="9" max="9" width="7.38"/>
    <col customWidth="1" min="10" max="10" width="14.25"/>
    <col customWidth="1" min="11" max="11" width="11.5"/>
    <col customWidth="1" min="12" max="12" width="13.88"/>
    <col customWidth="1" min="13" max="13" width="6.38"/>
    <col customWidth="1" min="14" max="15" width="10.63"/>
    <col customWidth="1" min="16" max="16" width="6.63"/>
    <col customWidth="1" min="17" max="17" width="9.0"/>
    <col customWidth="1" min="18" max="18" width="9.38"/>
  </cols>
  <sheetData>
    <row r="1" outlineLevel="1">
      <c r="A1" s="46" t="s">
        <v>84</v>
      </c>
      <c r="B1" s="46" t="s">
        <v>148</v>
      </c>
      <c r="C1" s="46" t="s">
        <v>85</v>
      </c>
      <c r="D1" s="46" t="s">
        <v>85</v>
      </c>
      <c r="E1" s="46" t="s">
        <v>85</v>
      </c>
      <c r="F1" s="46" t="s">
        <v>85</v>
      </c>
      <c r="G1" s="46" t="s">
        <v>85</v>
      </c>
      <c r="H1" s="46" t="s">
        <v>85</v>
      </c>
      <c r="I1" s="46" t="s">
        <v>85</v>
      </c>
      <c r="J1" s="46" t="s">
        <v>85</v>
      </c>
      <c r="K1" s="46" t="s">
        <v>85</v>
      </c>
      <c r="L1" s="46" t="s">
        <v>85</v>
      </c>
      <c r="M1" s="46" t="s">
        <v>85</v>
      </c>
      <c r="N1" s="46" t="s">
        <v>85</v>
      </c>
      <c r="O1" s="46" t="s">
        <v>85</v>
      </c>
      <c r="P1" s="46" t="s">
        <v>85</v>
      </c>
      <c r="Q1" s="46" t="s">
        <v>88</v>
      </c>
      <c r="R1" s="46" t="s">
        <v>88</v>
      </c>
    </row>
    <row r="2">
      <c r="A2" s="175" t="s">
        <v>860</v>
      </c>
      <c r="B2" s="176" t="s">
        <v>861</v>
      </c>
      <c r="C2" s="175" t="s">
        <v>862</v>
      </c>
      <c r="D2" s="175" t="s">
        <v>110</v>
      </c>
      <c r="E2" s="175" t="s">
        <v>863</v>
      </c>
      <c r="F2" s="175" t="s">
        <v>864</v>
      </c>
      <c r="G2" s="175" t="s">
        <v>865</v>
      </c>
      <c r="H2" s="175" t="s">
        <v>866</v>
      </c>
      <c r="I2" s="175" t="s">
        <v>867</v>
      </c>
      <c r="J2" s="175" t="s">
        <v>868</v>
      </c>
      <c r="K2" s="175" t="s">
        <v>869</v>
      </c>
      <c r="L2" s="175" t="s">
        <v>870</v>
      </c>
      <c r="M2" s="175" t="s">
        <v>871</v>
      </c>
      <c r="N2" s="175" t="s">
        <v>872</v>
      </c>
      <c r="O2" s="175" t="s">
        <v>873</v>
      </c>
      <c r="P2" s="175" t="s">
        <v>186</v>
      </c>
      <c r="Q2" s="111" t="s">
        <v>96</v>
      </c>
      <c r="R2" s="111" t="s">
        <v>97</v>
      </c>
    </row>
    <row r="3">
      <c r="A3" s="177" t="s">
        <v>874</v>
      </c>
      <c r="B3" s="178" t="str">
        <f t="shared" ref="B3:B13" si="1">C3&amp;"-"&amp;M3</f>
        <v>OpenAI-GPT5.4</v>
      </c>
      <c r="C3" s="177" t="s">
        <v>875</v>
      </c>
      <c r="D3" s="179" t="s">
        <v>876</v>
      </c>
      <c r="E3" s="180" t="s">
        <v>877</v>
      </c>
      <c r="F3" s="181" t="s">
        <v>878</v>
      </c>
      <c r="G3" s="181" t="s">
        <v>879</v>
      </c>
      <c r="H3" s="181" t="s">
        <v>880</v>
      </c>
      <c r="I3" s="181" t="s">
        <v>881</v>
      </c>
      <c r="J3" s="182" t="s">
        <v>882</v>
      </c>
      <c r="K3" s="182" t="s">
        <v>883</v>
      </c>
      <c r="L3" s="182" t="s">
        <v>884</v>
      </c>
      <c r="M3" s="177" t="s">
        <v>885</v>
      </c>
      <c r="N3" s="183"/>
      <c r="O3" s="183"/>
      <c r="P3" s="177" t="b">
        <v>1</v>
      </c>
      <c r="Q3" s="111"/>
      <c r="R3" s="111"/>
    </row>
    <row r="4">
      <c r="A4" s="177" t="s">
        <v>886</v>
      </c>
      <c r="B4" s="178" t="str">
        <f t="shared" si="1"/>
        <v>Anthropic-Opus 4.6</v>
      </c>
      <c r="C4" s="177" t="s">
        <v>887</v>
      </c>
      <c r="D4" s="179" t="s">
        <v>876</v>
      </c>
      <c r="E4" s="180" t="s">
        <v>888</v>
      </c>
      <c r="F4" s="181" t="s">
        <v>878</v>
      </c>
      <c r="G4" s="181" t="s">
        <v>879</v>
      </c>
      <c r="H4" s="181" t="s">
        <v>880</v>
      </c>
      <c r="I4" s="181" t="s">
        <v>881</v>
      </c>
      <c r="J4" s="182" t="s">
        <v>889</v>
      </c>
      <c r="K4" s="182" t="s">
        <v>890</v>
      </c>
      <c r="L4" s="182" t="s">
        <v>891</v>
      </c>
      <c r="M4" s="177" t="s">
        <v>892</v>
      </c>
      <c r="N4" s="183"/>
      <c r="O4" s="183"/>
      <c r="P4" s="177" t="b">
        <v>0</v>
      </c>
    </row>
    <row r="5">
      <c r="A5" s="177" t="s">
        <v>893</v>
      </c>
      <c r="B5" s="178" t="str">
        <f t="shared" si="1"/>
        <v>Mistral-</v>
      </c>
      <c r="C5" s="177" t="s">
        <v>894</v>
      </c>
      <c r="D5" s="179" t="s">
        <v>876</v>
      </c>
      <c r="E5" s="180" t="s">
        <v>895</v>
      </c>
      <c r="F5" s="181" t="s">
        <v>878</v>
      </c>
      <c r="G5" s="181" t="s">
        <v>879</v>
      </c>
      <c r="H5" s="181" t="s">
        <v>880</v>
      </c>
      <c r="I5" s="181" t="s">
        <v>881</v>
      </c>
      <c r="J5" s="182" t="s">
        <v>896</v>
      </c>
      <c r="K5" s="182" t="s">
        <v>897</v>
      </c>
      <c r="L5" s="182" t="s">
        <v>898</v>
      </c>
      <c r="M5" s="184"/>
      <c r="N5" s="183"/>
      <c r="O5" s="183"/>
      <c r="P5" s="185" t="b">
        <v>0</v>
      </c>
      <c r="Q5" s="170"/>
      <c r="R5" s="170"/>
    </row>
    <row r="6">
      <c r="A6" s="177" t="s">
        <v>899</v>
      </c>
      <c r="B6" s="178" t="str">
        <f t="shared" si="1"/>
        <v>Linkedin-</v>
      </c>
      <c r="C6" s="177" t="s">
        <v>900</v>
      </c>
      <c r="D6" s="179" t="s">
        <v>901</v>
      </c>
      <c r="E6" s="180" t="s">
        <v>902</v>
      </c>
      <c r="F6" s="181" t="s">
        <v>903</v>
      </c>
      <c r="G6" s="181" t="s">
        <v>880</v>
      </c>
      <c r="H6" s="181" t="s">
        <v>880</v>
      </c>
      <c r="I6" s="181" t="s">
        <v>904</v>
      </c>
      <c r="J6" s="182" t="s">
        <v>905</v>
      </c>
      <c r="K6" s="182" t="s">
        <v>906</v>
      </c>
      <c r="L6" s="182" t="s">
        <v>907</v>
      </c>
      <c r="M6" s="184"/>
      <c r="N6" s="183"/>
      <c r="O6" s="183"/>
      <c r="P6" s="182" t="b">
        <v>0</v>
      </c>
      <c r="Q6" s="170"/>
      <c r="R6" s="170"/>
    </row>
    <row r="7">
      <c r="A7" s="177" t="s">
        <v>908</v>
      </c>
      <c r="B7" s="178" t="str">
        <f t="shared" si="1"/>
        <v>Google Mail-</v>
      </c>
      <c r="C7" s="177" t="s">
        <v>909</v>
      </c>
      <c r="D7" s="179" t="s">
        <v>910</v>
      </c>
      <c r="E7" s="180" t="s">
        <v>911</v>
      </c>
      <c r="F7" s="181" t="s">
        <v>903</v>
      </c>
      <c r="G7" s="181" t="s">
        <v>880</v>
      </c>
      <c r="H7" s="181" t="s">
        <v>880</v>
      </c>
      <c r="I7" s="181" t="s">
        <v>912</v>
      </c>
      <c r="J7" s="182" t="s">
        <v>913</v>
      </c>
      <c r="K7" s="182" t="s">
        <v>914</v>
      </c>
      <c r="L7" s="182" t="s">
        <v>915</v>
      </c>
      <c r="M7" s="184"/>
      <c r="N7" s="183"/>
      <c r="O7" s="183"/>
      <c r="P7" s="182" t="b">
        <v>0</v>
      </c>
      <c r="Q7" s="170"/>
      <c r="R7" s="170"/>
    </row>
    <row r="8">
      <c r="A8" s="177" t="s">
        <v>916</v>
      </c>
      <c r="B8" s="178" t="str">
        <f t="shared" si="1"/>
        <v>Google Docs-</v>
      </c>
      <c r="C8" s="177" t="s">
        <v>917</v>
      </c>
      <c r="D8" s="179" t="s">
        <v>918</v>
      </c>
      <c r="E8" s="180" t="s">
        <v>919</v>
      </c>
      <c r="F8" s="181" t="s">
        <v>903</v>
      </c>
      <c r="G8" s="181" t="s">
        <v>880</v>
      </c>
      <c r="H8" s="181" t="s">
        <v>880</v>
      </c>
      <c r="I8" s="181" t="s">
        <v>920</v>
      </c>
      <c r="J8" s="182" t="s">
        <v>921</v>
      </c>
      <c r="K8" s="182" t="s">
        <v>922</v>
      </c>
      <c r="L8" s="182" t="s">
        <v>884</v>
      </c>
      <c r="M8" s="184"/>
      <c r="N8" s="183"/>
      <c r="O8" s="183"/>
      <c r="P8" s="182" t="b">
        <v>0</v>
      </c>
      <c r="Q8" s="170"/>
      <c r="R8" s="170"/>
    </row>
    <row r="9">
      <c r="A9" s="177" t="s">
        <v>923</v>
      </c>
      <c r="B9" s="178" t="str">
        <f t="shared" si="1"/>
        <v>Google Slides-</v>
      </c>
      <c r="C9" s="177" t="s">
        <v>924</v>
      </c>
      <c r="D9" s="179" t="s">
        <v>925</v>
      </c>
      <c r="E9" s="180" t="s">
        <v>926</v>
      </c>
      <c r="F9" s="181" t="s">
        <v>903</v>
      </c>
      <c r="G9" s="181" t="s">
        <v>880</v>
      </c>
      <c r="H9" s="181" t="s">
        <v>880</v>
      </c>
      <c r="I9" s="181" t="s">
        <v>920</v>
      </c>
      <c r="J9" s="182" t="s">
        <v>927</v>
      </c>
      <c r="K9" s="182" t="s">
        <v>922</v>
      </c>
      <c r="L9" s="182" t="s">
        <v>884</v>
      </c>
      <c r="M9" s="184"/>
      <c r="N9" s="183"/>
      <c r="O9" s="183"/>
      <c r="P9" s="182" t="b">
        <v>0</v>
      </c>
      <c r="Q9" s="170"/>
      <c r="R9" s="170"/>
    </row>
    <row r="10">
      <c r="A10" s="177" t="s">
        <v>928</v>
      </c>
      <c r="B10" s="178" t="str">
        <f t="shared" si="1"/>
        <v>Google Calendar-</v>
      </c>
      <c r="C10" s="177" t="s">
        <v>929</v>
      </c>
      <c r="D10" s="179" t="s">
        <v>930</v>
      </c>
      <c r="E10" s="180" t="s">
        <v>931</v>
      </c>
      <c r="F10" s="181" t="s">
        <v>903</v>
      </c>
      <c r="G10" s="181" t="s">
        <v>880</v>
      </c>
      <c r="H10" s="181" t="s">
        <v>880</v>
      </c>
      <c r="I10" s="181" t="s">
        <v>932</v>
      </c>
      <c r="J10" s="182" t="s">
        <v>933</v>
      </c>
      <c r="K10" s="182" t="s">
        <v>914</v>
      </c>
      <c r="L10" s="182" t="s">
        <v>891</v>
      </c>
      <c r="M10" s="184"/>
      <c r="N10" s="183"/>
      <c r="O10" s="183"/>
      <c r="P10" s="182" t="b">
        <v>0</v>
      </c>
      <c r="Q10" s="170"/>
      <c r="R10" s="170"/>
    </row>
    <row r="11">
      <c r="A11" s="177" t="s">
        <v>934</v>
      </c>
      <c r="B11" s="178" t="str">
        <f t="shared" si="1"/>
        <v>Google Form-</v>
      </c>
      <c r="C11" s="177" t="s">
        <v>935</v>
      </c>
      <c r="D11" s="179" t="s">
        <v>936</v>
      </c>
      <c r="E11" s="180" t="s">
        <v>937</v>
      </c>
      <c r="F11" s="181" t="s">
        <v>903</v>
      </c>
      <c r="G11" s="181" t="s">
        <v>880</v>
      </c>
      <c r="H11" s="181" t="s">
        <v>880</v>
      </c>
      <c r="I11" s="181" t="s">
        <v>938</v>
      </c>
      <c r="J11" s="182" t="s">
        <v>939</v>
      </c>
      <c r="K11" s="182" t="s">
        <v>940</v>
      </c>
      <c r="L11" s="182" t="s">
        <v>941</v>
      </c>
      <c r="M11" s="184"/>
      <c r="N11" s="183"/>
      <c r="O11" s="183"/>
      <c r="P11" s="182" t="b">
        <v>0</v>
      </c>
      <c r="Q11" s="170"/>
      <c r="R11" s="170"/>
    </row>
    <row r="12">
      <c r="A12" s="177" t="s">
        <v>942</v>
      </c>
      <c r="B12" s="178" t="str">
        <f t="shared" si="1"/>
        <v>Canvas-</v>
      </c>
      <c r="C12" s="177" t="s">
        <v>943</v>
      </c>
      <c r="D12" s="179" t="s">
        <v>944</v>
      </c>
      <c r="E12" s="180" t="s">
        <v>945</v>
      </c>
      <c r="F12" s="181" t="s">
        <v>878</v>
      </c>
      <c r="G12" s="181" t="s">
        <v>946</v>
      </c>
      <c r="H12" s="181" t="s">
        <v>880</v>
      </c>
      <c r="I12" s="181" t="s">
        <v>947</v>
      </c>
      <c r="J12" s="182" t="s">
        <v>948</v>
      </c>
      <c r="K12" s="182" t="s">
        <v>949</v>
      </c>
      <c r="L12" s="182" t="s">
        <v>950</v>
      </c>
      <c r="M12" s="184"/>
      <c r="N12" s="183"/>
      <c r="O12" s="183"/>
      <c r="P12" s="182" t="b">
        <v>0</v>
      </c>
      <c r="Q12" s="170"/>
      <c r="R12" s="170"/>
    </row>
    <row r="13">
      <c r="A13" s="177" t="s">
        <v>951</v>
      </c>
      <c r="B13" s="178" t="str">
        <f t="shared" si="1"/>
        <v>N8N-</v>
      </c>
      <c r="C13" s="177" t="s">
        <v>952</v>
      </c>
      <c r="D13" s="179" t="s">
        <v>953</v>
      </c>
      <c r="E13" s="182" t="s">
        <v>954</v>
      </c>
      <c r="F13" s="181" t="s">
        <v>878</v>
      </c>
      <c r="G13" s="181" t="s">
        <v>880</v>
      </c>
      <c r="H13" s="181" t="s">
        <v>880</v>
      </c>
      <c r="I13" s="181"/>
      <c r="J13" s="182" t="s">
        <v>955</v>
      </c>
      <c r="K13" s="182" t="s">
        <v>956</v>
      </c>
      <c r="L13" s="182" t="s">
        <v>957</v>
      </c>
      <c r="M13" s="184"/>
      <c r="N13" s="183"/>
      <c r="O13" s="183"/>
      <c r="P13" s="182" t="b">
        <v>0</v>
      </c>
      <c r="Q13" s="170"/>
      <c r="R13" s="170"/>
    </row>
  </sheetData>
  <dataValidations>
    <dataValidation type="list" allowBlank="1" showErrorMessage="1" sqref="P3:P13">
      <formula1>'_options_list'!$C$10:$F$10</formula1>
    </dataValidation>
    <dataValidation type="list" allowBlank="1" showErrorMessage="1" sqref="A1:R1">
      <formula1>'_options_list'!$C$11:$J$11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</hyperlinks>
  <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0D0D"/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1" max="1" width="14.5"/>
    <col customWidth="1" min="2" max="2" width="11.88"/>
    <col customWidth="1" min="3" max="3" width="28.25"/>
    <col customWidth="1" min="4" max="4" width="21.25"/>
    <col customWidth="1" min="5" max="5" width="26.38"/>
    <col customWidth="1" min="6" max="6" width="14.13"/>
    <col customWidth="1" min="7" max="7" width="14.75"/>
    <col customWidth="1" min="8" max="8" width="9.0"/>
    <col customWidth="1" min="9" max="9" width="9.38"/>
  </cols>
  <sheetData>
    <row r="1" outlineLevel="1">
      <c r="A1" s="46" t="s">
        <v>84</v>
      </c>
      <c r="B1" s="46" t="s">
        <v>85</v>
      </c>
      <c r="C1" s="46" t="s">
        <v>85</v>
      </c>
      <c r="D1" s="46" t="s">
        <v>85</v>
      </c>
      <c r="E1" s="46" t="s">
        <v>85</v>
      </c>
      <c r="F1" s="46" t="s">
        <v>85</v>
      </c>
      <c r="G1" s="46" t="s">
        <v>86</v>
      </c>
      <c r="H1" s="46" t="s">
        <v>88</v>
      </c>
      <c r="I1" s="46" t="s">
        <v>88</v>
      </c>
    </row>
    <row r="2">
      <c r="A2" s="166" t="s">
        <v>958</v>
      </c>
      <c r="B2" s="166" t="s">
        <v>959</v>
      </c>
      <c r="C2" s="166" t="s">
        <v>960</v>
      </c>
      <c r="D2" s="166" t="s">
        <v>961</v>
      </c>
      <c r="E2" s="186" t="s">
        <v>962</v>
      </c>
      <c r="F2" s="166" t="s">
        <v>963</v>
      </c>
      <c r="G2" s="166" t="s">
        <v>964</v>
      </c>
      <c r="H2" s="111" t="s">
        <v>96</v>
      </c>
      <c r="I2" s="111" t="s">
        <v>97</v>
      </c>
    </row>
    <row r="3" ht="82.5" customHeight="1">
      <c r="A3" s="2" t="s">
        <v>965</v>
      </c>
      <c r="B3" s="2" t="s">
        <v>57</v>
      </c>
      <c r="C3" s="2" t="s">
        <v>966</v>
      </c>
      <c r="D3" s="2" t="s">
        <v>967</v>
      </c>
      <c r="E3" s="2" t="s">
        <v>968</v>
      </c>
      <c r="F3" s="18"/>
      <c r="G3" s="2" t="s">
        <v>969</v>
      </c>
      <c r="H3" s="111"/>
      <c r="I3" s="111"/>
    </row>
  </sheetData>
  <dataValidations>
    <dataValidation type="list" allowBlank="1" showErrorMessage="1" sqref="A1:I1">
      <formula1>'_options_list'!$C$11:$J$11</formula1>
    </dataValidation>
    <dataValidation type="list" allowBlank="1" showErrorMessage="1" sqref="G3">
      <formula1>"English,French,Spanish"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0D0D"/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2.25"/>
    <col customWidth="1" min="2" max="2" width="17.38"/>
    <col customWidth="1" min="3" max="17" width="10.13"/>
  </cols>
  <sheetData>
    <row r="1" outlineLevel="1">
      <c r="A1" s="46" t="s">
        <v>84</v>
      </c>
      <c r="B1" s="46" t="s">
        <v>85</v>
      </c>
      <c r="C1" s="46" t="s">
        <v>85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>
      <c r="A2" s="187" t="s">
        <v>970</v>
      </c>
      <c r="B2" s="187" t="s">
        <v>971</v>
      </c>
      <c r="C2" s="188" t="str">
        <f t="array" ref="C2:Q2">IFERROR("option_"&amp;SEQUENCE(1,LOOKUP(2,1/(MMULT(TRANSPOSE(--(C3:AAA999&lt;&gt;"")),SEQUENCE(ROWS(C3:AAA999),1,1,0))&gt;0),TRANSPOSE(COLUMN(C3:AAA3)))-COLUMN(C3)+1),"")</f>
        <v>option_1</v>
      </c>
      <c r="D2" s="188" t="s">
        <v>972</v>
      </c>
      <c r="E2" s="188" t="s">
        <v>973</v>
      </c>
      <c r="F2" s="188" t="s">
        <v>974</v>
      </c>
      <c r="G2" s="188" t="s">
        <v>975</v>
      </c>
      <c r="H2" s="188" t="s">
        <v>976</v>
      </c>
      <c r="I2" s="188" t="s">
        <v>977</v>
      </c>
      <c r="J2" s="188" t="s">
        <v>978</v>
      </c>
      <c r="K2" s="188" t="s">
        <v>979</v>
      </c>
      <c r="L2" s="188" t="s">
        <v>980</v>
      </c>
      <c r="M2" s="188" t="s">
        <v>981</v>
      </c>
      <c r="N2" s="188" t="s">
        <v>982</v>
      </c>
      <c r="O2" s="188" t="s">
        <v>983</v>
      </c>
      <c r="P2" s="188" t="s">
        <v>984</v>
      </c>
      <c r="Q2" s="188" t="s">
        <v>985</v>
      </c>
    </row>
    <row r="3">
      <c r="A3" s="58" t="s">
        <v>986</v>
      </c>
      <c r="B3" s="189" t="s">
        <v>987</v>
      </c>
      <c r="C3" s="58" t="s">
        <v>205</v>
      </c>
      <c r="D3" s="58" t="s">
        <v>414</v>
      </c>
    </row>
    <row r="4">
      <c r="A4" s="58" t="s">
        <v>988</v>
      </c>
      <c r="B4" s="189" t="s">
        <v>122</v>
      </c>
      <c r="C4" s="58" t="s">
        <v>137</v>
      </c>
      <c r="D4" s="58" t="s">
        <v>205</v>
      </c>
      <c r="E4" s="53" t="s">
        <v>207</v>
      </c>
      <c r="F4" s="53" t="s">
        <v>124</v>
      </c>
      <c r="G4" s="53" t="s">
        <v>211</v>
      </c>
      <c r="H4" s="53" t="s">
        <v>126</v>
      </c>
      <c r="I4" s="53" t="s">
        <v>213</v>
      </c>
      <c r="J4" s="53" t="s">
        <v>215</v>
      </c>
      <c r="K4" s="53" t="s">
        <v>217</v>
      </c>
      <c r="L4" s="53" t="s">
        <v>221</v>
      </c>
      <c r="M4" s="53" t="s">
        <v>219</v>
      </c>
    </row>
    <row r="5">
      <c r="A5" s="58" t="s">
        <v>989</v>
      </c>
      <c r="B5" s="189" t="s">
        <v>990</v>
      </c>
      <c r="C5" s="58" t="s">
        <v>101</v>
      </c>
      <c r="D5" s="58" t="s">
        <v>991</v>
      </c>
    </row>
    <row r="6">
      <c r="A6" s="58" t="s">
        <v>992</v>
      </c>
      <c r="B6" s="189" t="s">
        <v>993</v>
      </c>
      <c r="C6" s="58" t="s">
        <v>994</v>
      </c>
      <c r="D6" s="58" t="s">
        <v>995</v>
      </c>
      <c r="E6" s="53" t="s">
        <v>996</v>
      </c>
      <c r="F6" s="53" t="s">
        <v>997</v>
      </c>
      <c r="G6" s="53" t="s">
        <v>998</v>
      </c>
      <c r="H6" s="53" t="s">
        <v>999</v>
      </c>
      <c r="I6" s="53" t="s">
        <v>1000</v>
      </c>
      <c r="J6" s="53" t="s">
        <v>1001</v>
      </c>
      <c r="K6" s="53" t="s">
        <v>1002</v>
      </c>
      <c r="L6" s="53" t="s">
        <v>1003</v>
      </c>
      <c r="M6" s="53" t="s">
        <v>1004</v>
      </c>
      <c r="N6" s="53" t="s">
        <v>1005</v>
      </c>
      <c r="O6" s="53" t="s">
        <v>1006</v>
      </c>
      <c r="P6" s="53" t="s">
        <v>1007</v>
      </c>
      <c r="Q6" s="53" t="s">
        <v>1008</v>
      </c>
    </row>
    <row r="7">
      <c r="A7" s="58" t="s">
        <v>1009</v>
      </c>
      <c r="B7" s="189" t="s">
        <v>1010</v>
      </c>
      <c r="C7" s="58" t="s">
        <v>1011</v>
      </c>
      <c r="D7" s="58" t="s">
        <v>1012</v>
      </c>
      <c r="E7" s="53" t="s">
        <v>1013</v>
      </c>
      <c r="F7" s="53" t="s">
        <v>1014</v>
      </c>
      <c r="G7" s="53" t="s">
        <v>1015</v>
      </c>
    </row>
    <row r="8">
      <c r="A8" s="58" t="s">
        <v>1016</v>
      </c>
      <c r="B8" s="189" t="s">
        <v>1017</v>
      </c>
      <c r="C8" s="58" t="s">
        <v>1018</v>
      </c>
      <c r="D8" s="58" t="s">
        <v>1019</v>
      </c>
      <c r="E8" s="53" t="s">
        <v>1020</v>
      </c>
    </row>
    <row r="9">
      <c r="A9" s="58" t="s">
        <v>1021</v>
      </c>
      <c r="B9" s="189" t="s">
        <v>365</v>
      </c>
      <c r="C9" s="58" t="s">
        <v>381</v>
      </c>
      <c r="D9" s="58" t="s">
        <v>1022</v>
      </c>
    </row>
    <row r="10">
      <c r="A10" s="58" t="s">
        <v>1023</v>
      </c>
      <c r="B10" s="189" t="s">
        <v>1024</v>
      </c>
      <c r="C10" s="190" t="b">
        <v>1</v>
      </c>
      <c r="D10" s="190" t="b">
        <v>0</v>
      </c>
    </row>
    <row r="11">
      <c r="A11" s="58" t="s">
        <v>1025</v>
      </c>
      <c r="B11" s="189" t="s">
        <v>1026</v>
      </c>
      <c r="C11" s="53" t="s">
        <v>85</v>
      </c>
      <c r="D11" s="58" t="s">
        <v>181</v>
      </c>
      <c r="E11" s="58" t="s">
        <v>86</v>
      </c>
      <c r="F11" s="53" t="s">
        <v>88</v>
      </c>
      <c r="G11" s="53" t="s">
        <v>148</v>
      </c>
      <c r="H11" s="53" t="s">
        <v>87</v>
      </c>
      <c r="I11" s="58" t="s">
        <v>84</v>
      </c>
      <c r="J11" s="58" t="s">
        <v>107</v>
      </c>
      <c r="K11" s="58" t="s">
        <v>193</v>
      </c>
    </row>
    <row r="12">
      <c r="A12" s="58" t="s">
        <v>1027</v>
      </c>
      <c r="B12" s="189" t="s">
        <v>117</v>
      </c>
      <c r="C12" s="58" t="s">
        <v>1028</v>
      </c>
      <c r="D12" s="58" t="s">
        <v>120</v>
      </c>
      <c r="E12" s="58" t="s">
        <v>1029</v>
      </c>
      <c r="F12" s="58" t="s">
        <v>1030</v>
      </c>
    </row>
  </sheetData>
  <dataValidations>
    <dataValidation type="list" allowBlank="1" showErrorMessage="1" sqref="A1:C1">
      <formula1>'_options_list'!$C$11:$J$11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13"/>
    <col customWidth="1" min="2" max="2" width="10.38"/>
    <col customWidth="1" min="3" max="3" width="8.88"/>
    <col customWidth="1" min="4" max="4" width="11.88"/>
    <col customWidth="1" min="5" max="5" width="8.88"/>
    <col customWidth="1" min="6" max="6" width="12.25"/>
    <col customWidth="1" min="7" max="7" width="15.0"/>
    <col customWidth="1" min="8" max="8" width="9.13"/>
    <col customWidth="1" min="9" max="9" width="9.88"/>
    <col customWidth="1" min="10" max="10" width="9.38"/>
    <col customWidth="1" min="11" max="11" width="9.5"/>
    <col customWidth="1" min="12" max="12" width="11.38"/>
    <col customWidth="1" min="13" max="13" width="11.13"/>
    <col customWidth="1" min="14" max="14" width="10.25"/>
    <col customWidth="1" min="15" max="15" width="12.88"/>
    <col customWidth="1" min="16" max="18" width="9.13"/>
  </cols>
  <sheetData>
    <row r="1">
      <c r="A1" s="46" t="s">
        <v>85</v>
      </c>
      <c r="B1" s="46" t="s">
        <v>86</v>
      </c>
      <c r="C1" s="46" t="s">
        <v>86</v>
      </c>
      <c r="D1" s="46" t="s">
        <v>86</v>
      </c>
      <c r="E1" s="46" t="s">
        <v>86</v>
      </c>
      <c r="F1" s="46" t="s">
        <v>86</v>
      </c>
      <c r="G1" s="46" t="s">
        <v>86</v>
      </c>
      <c r="H1" s="46" t="s">
        <v>86</v>
      </c>
      <c r="I1" s="46" t="s">
        <v>86</v>
      </c>
      <c r="J1" s="46" t="s">
        <v>86</v>
      </c>
      <c r="K1" s="46" t="s">
        <v>86</v>
      </c>
      <c r="L1" s="46" t="s">
        <v>86</v>
      </c>
      <c r="M1" s="46" t="s">
        <v>86</v>
      </c>
      <c r="N1" s="46" t="s">
        <v>86</v>
      </c>
      <c r="O1" s="46" t="s">
        <v>86</v>
      </c>
      <c r="P1" s="46" t="s">
        <v>86</v>
      </c>
      <c r="Q1" s="46" t="s">
        <v>88</v>
      </c>
      <c r="R1" s="46" t="s">
        <v>88</v>
      </c>
    </row>
    <row r="2">
      <c r="A2" s="191" t="s">
        <v>1031</v>
      </c>
      <c r="B2" s="192" t="s">
        <v>805</v>
      </c>
      <c r="C2" s="193" t="str">
        <f>B2</f>
        <v>value</v>
      </c>
      <c r="D2" s="193" t="str">
        <f>B2</f>
        <v>value</v>
      </c>
      <c r="E2" s="194" t="str">
        <f>B2</f>
        <v>value</v>
      </c>
      <c r="F2" s="192" t="s">
        <v>812</v>
      </c>
      <c r="G2" s="193" t="str">
        <f>F2</f>
        <v>activity_type</v>
      </c>
      <c r="H2" s="193" t="str">
        <f>F2</f>
        <v>activity_type</v>
      </c>
      <c r="I2" s="195" t="str">
        <f>F2</f>
        <v>activity_type</v>
      </c>
      <c r="J2" s="192" t="s">
        <v>821</v>
      </c>
      <c r="K2" s="194" t="str">
        <f>J2</f>
        <v>skill</v>
      </c>
      <c r="L2" s="192" t="s">
        <v>826</v>
      </c>
      <c r="M2" s="193" t="str">
        <f>L2</f>
        <v>structuration</v>
      </c>
      <c r="N2" s="194" t="str">
        <f>L2</f>
        <v>structuration</v>
      </c>
      <c r="O2" s="192" t="s">
        <v>833</v>
      </c>
      <c r="P2" s="194" t="str">
        <f>O2</f>
        <v>input</v>
      </c>
      <c r="Q2" s="111" t="s">
        <v>96</v>
      </c>
      <c r="R2" s="111" t="s">
        <v>97</v>
      </c>
    </row>
    <row r="3" ht="20.25" customHeight="1">
      <c r="A3" s="196" t="s">
        <v>1032</v>
      </c>
      <c r="B3" s="197" t="s">
        <v>1033</v>
      </c>
      <c r="C3" s="197" t="s">
        <v>1034</v>
      </c>
      <c r="D3" s="197" t="s">
        <v>1035</v>
      </c>
      <c r="E3" s="198" t="s">
        <v>1036</v>
      </c>
      <c r="F3" s="197" t="s">
        <v>814</v>
      </c>
      <c r="G3" s="197" t="s">
        <v>816</v>
      </c>
      <c r="H3" s="197" t="s">
        <v>818</v>
      </c>
      <c r="I3" s="199" t="s">
        <v>820</v>
      </c>
      <c r="J3" s="197" t="s">
        <v>823</v>
      </c>
      <c r="K3" s="198" t="s">
        <v>825</v>
      </c>
      <c r="L3" s="197" t="s">
        <v>828</v>
      </c>
      <c r="M3" s="197" t="s">
        <v>830</v>
      </c>
      <c r="N3" s="198" t="s">
        <v>832</v>
      </c>
      <c r="O3" s="197" t="s">
        <v>835</v>
      </c>
      <c r="P3" s="198" t="s">
        <v>837</v>
      </c>
      <c r="Q3" s="111"/>
      <c r="R3" s="111"/>
    </row>
    <row r="4" ht="20.25" customHeight="1">
      <c r="A4" s="196" t="s">
        <v>1037</v>
      </c>
      <c r="B4" s="132" t="s">
        <v>1038</v>
      </c>
      <c r="C4" s="132" t="s">
        <v>1039</v>
      </c>
      <c r="D4" s="132" t="s">
        <v>1040</v>
      </c>
      <c r="E4" s="200" t="s">
        <v>1041</v>
      </c>
      <c r="F4" s="132" t="s">
        <v>1042</v>
      </c>
      <c r="G4" s="132" t="s">
        <v>1043</v>
      </c>
      <c r="H4" s="132" t="s">
        <v>1044</v>
      </c>
      <c r="I4" s="201" t="s">
        <v>1045</v>
      </c>
      <c r="J4" s="132" t="s">
        <v>1046</v>
      </c>
      <c r="K4" s="200" t="s">
        <v>1047</v>
      </c>
      <c r="L4" s="132" t="s">
        <v>1048</v>
      </c>
      <c r="M4" s="132" t="s">
        <v>1049</v>
      </c>
      <c r="N4" s="200" t="s">
        <v>1050</v>
      </c>
      <c r="O4" s="132" t="s">
        <v>1051</v>
      </c>
      <c r="P4" s="200" t="s">
        <v>1052</v>
      </c>
      <c r="Q4" s="132"/>
      <c r="R4" s="132"/>
    </row>
    <row r="5" ht="20.25" customHeight="1">
      <c r="A5" s="196" t="s">
        <v>1053</v>
      </c>
      <c r="B5" s="134">
        <v>1.0</v>
      </c>
      <c r="C5" s="134">
        <v>1.0</v>
      </c>
      <c r="D5" s="134">
        <v>1.0</v>
      </c>
      <c r="E5" s="202">
        <v>1.0</v>
      </c>
      <c r="F5" s="134">
        <v>3.0</v>
      </c>
      <c r="G5" s="134">
        <v>3.0</v>
      </c>
      <c r="H5" s="134">
        <v>2.0</v>
      </c>
      <c r="I5" s="203">
        <v>3.0</v>
      </c>
      <c r="J5" s="134">
        <v>3.0</v>
      </c>
      <c r="K5" s="202">
        <v>3.0</v>
      </c>
      <c r="L5" s="134">
        <v>3.0</v>
      </c>
      <c r="M5" s="134">
        <v>3.0</v>
      </c>
      <c r="N5" s="202">
        <v>1.0</v>
      </c>
      <c r="O5" s="134">
        <v>3.0</v>
      </c>
      <c r="P5" s="202">
        <v>1.0</v>
      </c>
      <c r="Q5" s="134"/>
      <c r="R5" s="134"/>
    </row>
    <row r="6" ht="20.25" customHeight="1">
      <c r="A6" s="196" t="s">
        <v>1054</v>
      </c>
      <c r="B6" s="134">
        <v>1.0</v>
      </c>
      <c r="C6" s="134">
        <v>1.0</v>
      </c>
      <c r="D6" s="134">
        <v>1.0</v>
      </c>
      <c r="E6" s="202">
        <v>1.0</v>
      </c>
      <c r="F6" s="134">
        <v>3.0</v>
      </c>
      <c r="G6" s="134">
        <v>2.0</v>
      </c>
      <c r="H6" s="134">
        <v>3.0</v>
      </c>
      <c r="I6" s="203">
        <v>1.0</v>
      </c>
      <c r="J6" s="134">
        <v>1.0</v>
      </c>
      <c r="K6" s="202">
        <v>1.0</v>
      </c>
      <c r="L6" s="134">
        <v>1.0</v>
      </c>
      <c r="M6" s="134">
        <v>1.0</v>
      </c>
      <c r="N6" s="202">
        <v>1.0</v>
      </c>
      <c r="O6" s="134">
        <v>1.0</v>
      </c>
      <c r="P6" s="202">
        <v>1.0</v>
      </c>
      <c r="Q6" s="134"/>
      <c r="R6" s="134"/>
    </row>
    <row r="7" ht="20.25" customHeight="1">
      <c r="A7" s="196" t="s">
        <v>1055</v>
      </c>
      <c r="B7" s="134">
        <v>1.0</v>
      </c>
      <c r="C7" s="134">
        <v>1.0</v>
      </c>
      <c r="D7" s="134">
        <v>1.0</v>
      </c>
      <c r="E7" s="202">
        <v>1.0</v>
      </c>
      <c r="F7" s="134">
        <v>1.0</v>
      </c>
      <c r="G7" s="134">
        <v>1.0</v>
      </c>
      <c r="H7" s="134">
        <v>3.0</v>
      </c>
      <c r="I7" s="203">
        <v>3.0</v>
      </c>
      <c r="J7" s="134">
        <v>2.0</v>
      </c>
      <c r="K7" s="202">
        <v>3.0</v>
      </c>
      <c r="L7" s="134">
        <v>1.0</v>
      </c>
      <c r="M7" s="134">
        <v>1.0</v>
      </c>
      <c r="N7" s="202">
        <v>1.0</v>
      </c>
      <c r="O7" s="134">
        <v>1.0</v>
      </c>
      <c r="P7" s="202">
        <v>1.0</v>
      </c>
      <c r="Q7" s="134"/>
      <c r="R7" s="134"/>
    </row>
    <row r="8" ht="20.25" customHeight="1">
      <c r="A8" s="196" t="s">
        <v>1056</v>
      </c>
      <c r="B8" s="134">
        <v>1.0</v>
      </c>
      <c r="C8" s="134">
        <v>1.0</v>
      </c>
      <c r="D8" s="134">
        <v>1.0</v>
      </c>
      <c r="E8" s="202">
        <v>1.0</v>
      </c>
      <c r="F8" s="134">
        <v>1.0</v>
      </c>
      <c r="G8" s="134">
        <v>1.0</v>
      </c>
      <c r="H8" s="134">
        <v>3.0</v>
      </c>
      <c r="I8" s="203">
        <v>1.0</v>
      </c>
      <c r="J8" s="134">
        <v>1.0</v>
      </c>
      <c r="K8" s="202">
        <v>1.0</v>
      </c>
      <c r="L8" s="134">
        <v>1.0</v>
      </c>
      <c r="M8" s="134">
        <v>1.0</v>
      </c>
      <c r="N8" s="202">
        <v>1.0</v>
      </c>
      <c r="O8" s="134">
        <v>3.0</v>
      </c>
      <c r="P8" s="202">
        <v>3.0</v>
      </c>
      <c r="Q8" s="134"/>
      <c r="R8" s="134"/>
    </row>
    <row r="9" ht="20.25" customHeight="1">
      <c r="A9" s="196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</row>
  </sheetData>
  <dataValidations>
    <dataValidation type="list" allowBlank="1" showErrorMessage="1" sqref="B5:P9">
      <formula1>"1,2,3"</formula1>
    </dataValidation>
    <dataValidation type="list" allowBlank="1" showErrorMessage="1" sqref="A1:R1">
      <formula1>'_options_list'!$C$11:$J$11</formula1>
    </dataValidation>
  </dataValidations>
  <drawing r:id="rId2"/>
  <legacyDrawing r:id="rId3"/>
</worksheet>
</file>